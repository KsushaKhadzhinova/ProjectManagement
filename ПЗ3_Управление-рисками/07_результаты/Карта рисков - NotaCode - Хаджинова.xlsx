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inna\Downloads\"/>
    </mc:Choice>
  </mc:AlternateContent>
  <xr:revisionPtr revIDLastSave="0" documentId="8_{B6D03FC2-842F-4B00-ACE7-FDBB7D49757A}" xr6:coauthVersionLast="37" xr6:coauthVersionMax="37" xr10:uidLastSave="{00000000-0000-0000-0000-000000000000}"/>
  <workbookProtection workbookAlgorithmName="SHA-512" workbookHashValue="9BSvA8ngIgRbPGpWQYu5c6jXc2vUrBmIIbqdW5FKPKGkzFmbCuUi/d+R6oxi8fpq/L9oObBRRCOKuw2SEVGVJA==" workbookSaltValue="6v36ypmqVNgk/okiC8jG3Q==" workbookSpinCount="100000" lockStructure="1"/>
  <bookViews>
    <workbookView xWindow="0" yWindow="0" windowWidth="19200" windowHeight="6940" activeTab="1" xr2:uid="{00000000-000D-0000-FFFF-FFFF00000000}"/>
  </bookViews>
  <sheets>
    <sheet name="Приветствие" sheetId="1" r:id="rId1"/>
    <sheet name="Таблица с рисками" sheetId="2" r:id="rId2"/>
    <sheet name="Карта рисков" sheetId="3" r:id="rId3"/>
  </sheets>
  <calcPr calcId="179021" fullCalcOnLoad="1" refMode="R1C1"/>
</workbook>
</file>

<file path=xl/sharedStrings.xml><?xml version="1.0" encoding="utf-8"?>
<sst xmlns="http://schemas.openxmlformats.org/spreadsheetml/2006/main" count="184" uniqueCount="148">
  <si>
    <t xml:space="preserve">Здравствуйте! </t>
  </si>
  <si>
    <t xml:space="preserve">Меня зовут Татьяна и я разработала данный файл в обучающих целях для сайта </t>
  </si>
  <si>
    <t>https://course-excel.ru/</t>
  </si>
  <si>
    <t>Наименование проекта:</t>
  </si>
  <si>
    <t>от 0 до 1</t>
  </si>
  <si>
    <t>Номер риска</t>
  </si>
  <si>
    <t>Обозначение риска</t>
  </si>
  <si>
    <t>Наименование риска</t>
  </si>
  <si>
    <t>Влияние риска на проект/предприятие</t>
  </si>
  <si>
    <t>Что является триггером для проявление данного риска?</t>
  </si>
  <si>
    <t>Оценка вероятности возникновения риска</t>
  </si>
  <si>
    <t>Оценка силы воздействия риска</t>
  </si>
  <si>
    <t xml:space="preserve">Итоговый коэффициент </t>
  </si>
  <si>
    <t>Мероприятия по минимизации рисков</t>
  </si>
  <si>
    <t>1 вариант</t>
  </si>
  <si>
    <t>Дополнение к видео: чтобы в ручную не прописывать подписи к данным на рисунке можно сделать следующие действия:</t>
  </si>
  <si>
    <t>1) нажать на любую точку на графике правой кнопкой мыши и добавить подписи к данным</t>
  </si>
  <si>
    <t>2) далее нажать на подписи данных правой кнопкой мыши и выбрать формат подписей к данным</t>
  </si>
  <si>
    <t xml:space="preserve">3) в параметрах подписи убрать галочки "Значения X" и "линии выноски" </t>
  </si>
  <si>
    <t>4) выбрать галочку "Значение из ячеек" и сослаться на столбец с кратким наименованием рисков</t>
  </si>
  <si>
    <t>2 вариант</t>
  </si>
  <si>
    <t>0,8-1</t>
  </si>
  <si>
    <t>0,6-0,8</t>
  </si>
  <si>
    <t xml:space="preserve">Высокий приоритет </t>
  </si>
  <si>
    <t>0,5 - 0,6</t>
  </si>
  <si>
    <t>Средний приоритет</t>
  </si>
  <si>
    <t>0,1 - 0,5</t>
  </si>
  <si>
    <t>Низкий приоритет</t>
  </si>
  <si>
    <t>0,1-0,4</t>
  </si>
  <si>
    <t>0,4 - 0,6</t>
  </si>
  <si>
    <t>0,8 - 1</t>
  </si>
  <si>
    <t>от 0,505 до 1</t>
  </si>
  <si>
    <t>от 0,14 до 0,505</t>
  </si>
  <si>
    <t>менее 0,14</t>
  </si>
  <si>
    <t>3 вариант</t>
  </si>
  <si>
    <t>A</t>
  </si>
  <si>
    <t>B</t>
  </si>
  <si>
    <t>C</t>
  </si>
  <si>
    <t>D</t>
  </si>
  <si>
    <t>Оценка</t>
  </si>
  <si>
    <t>Описание</t>
  </si>
  <si>
    <t>Пример</t>
  </si>
  <si>
    <t>%</t>
  </si>
  <si>
    <t>Очень низкая</t>
  </si>
  <si>
    <t>Единичный случай за 10 лет</t>
  </si>
  <si>
    <t>&lt; 5%</t>
  </si>
  <si>
    <t>Низкая</t>
  </si>
  <si>
    <t>Раз в 2-3 года</t>
  </si>
  <si>
    <t>5-20%</t>
  </si>
  <si>
    <t>Средняя</t>
  </si>
  <si>
    <t>Раз в год</t>
  </si>
  <si>
    <t>20-50%</t>
  </si>
  <si>
    <t>Высокая</t>
  </si>
  <si>
    <t>Несколько раз в год</t>
  </si>
  <si>
    <t>50-80%</t>
  </si>
  <si>
    <t>Очень высокая</t>
  </si>
  <si>
    <t>Регулярно / постоянно</t>
  </si>
  <si>
    <t>&gt; 80%</t>
  </si>
  <si>
    <t>Шкала вероятности </t>
  </si>
  <si>
    <t>Финансовые потери</t>
  </si>
  <si>
    <t>Репутационный ущерб</t>
  </si>
  <si>
    <t>Юридические последствия</t>
  </si>
  <si>
    <t>Очень низкое</t>
  </si>
  <si>
    <t>Локальный</t>
  </si>
  <si>
    <t>Нет</t>
  </si>
  <si>
    <t>Низкое</t>
  </si>
  <si>
    <t>Внутренний</t>
  </si>
  <si>
    <t>Среднее</t>
  </si>
  <si>
    <t>Региональный</t>
  </si>
  <si>
    <t>Высокое</t>
  </si>
  <si>
    <t>Национальный</t>
  </si>
  <si>
    <t>Очень высокое</t>
  </si>
  <si>
    <t>Международный</t>
  </si>
  <si>
    <t>Блокировка деятельности, судебные иски</t>
  </si>
  <si>
    <t xml:space="preserve">Шкала воздействия </t>
  </si>
  <si>
    <t>№</t>
  </si>
  <si>
    <t>Риск</t>
  </si>
  <si>
    <t>Категория</t>
  </si>
  <si>
    <t>Вер</t>
  </si>
  <si>
    <t>Вз</t>
  </si>
  <si>
    <t>Коэфф.</t>
  </si>
  <si>
    <t>Приоритет</t>
  </si>
  <si>
    <t>R1</t>
  </si>
  <si>
    <t>Отсутствие согласий на биометрию</t>
  </si>
  <si>
    <t>Правовой</t>
  </si>
  <si>
    <t>🔴 Высокий</t>
  </si>
  <si>
    <t>R2</t>
  </si>
  <si>
    <t>Трансграничная передача ПДн</t>
  </si>
  <si>
    <t>R3</t>
  </si>
  <si>
    <t>Сопротивление сотрудников</t>
  </si>
  <si>
    <t>Организационный</t>
  </si>
  <si>
    <t>🟡 Средний</t>
  </si>
  <si>
    <t>R4</t>
  </si>
  <si>
    <t>Недостаток компетенций</t>
  </si>
  <si>
    <t>R5</t>
  </si>
  <si>
    <t>Отказ облачной платформы</t>
  </si>
  <si>
    <t>Технический</t>
  </si>
  <si>
    <t>средний</t>
  </si>
  <si>
    <t>Вероят- ность (1–5)</t>
  </si>
  <si>
    <t>Влияние (1–5)</t>
  </si>
  <si>
    <t>Уровень приоритета (В x Вл)</t>
  </si>
  <si>
    <t>Меры реагирования / Снижение риска</t>
  </si>
  <si>
    <t>Утечка биометрических и иных персональных данных работников</t>
  </si>
  <si>
    <t>20 (Критический)</t>
  </si>
  <si>
    <t>Шифрование данных при хранении и передаче, строгий контроль доступа, DLP-системы, регулярный аудит безопасности, сегментация сети.</t>
  </si>
  <si>
    <t>Несоответствие системы требованиям Закона РБ № 99-З «О защите персональных данных»</t>
  </si>
  <si>
    <t>15 (Высокий)</t>
  </si>
  <si>
    <t>Проведение правового аудита на этапе проектирования, привлечение комплаенс-консультантов, получение разъяснений НЦЗПД.</t>
  </si>
  <si>
    <t>Отсутствие или ненадлежащее оформление согласий субъектов ПД и внутренних ЛПА</t>
  </si>
  <si>
    <t>16 (Высокий)</t>
  </si>
  <si>
    <t>Разработка и утверждение Политики обработки ПД, получение письменных согласий от всех работников, актуализация локальных актов.</t>
  </si>
  <si>
    <t>Нарушение порядка трансграничной передачи ПД и отсутствие соглашения с облачным провайдером</t>
  </si>
  <si>
    <t>Юридическая проверка местонахождения серверов, заключение договора с провайдером с условиями о защите ПД, выбор локализованных облачных решений.</t>
  </si>
  <si>
    <t>Привлечение к административной ответственности по результатам проверки НЦЗПД</t>
  </si>
  <si>
    <t>10 (Средний)</t>
  </si>
  <si>
    <t>Проведение внутренней самопроверки до внедрения, устранение всех замечаний, ведение документированного учета действий с ПД.</t>
  </si>
  <si>
    <t>Несанкционированный доступ к системе «Умный офис» и корпоративной сети через IoT-уязвимости</t>
  </si>
  <si>
    <t>Регулярное обновление прошивок IoT, смена заводских паролей, изоляция IoT-сегмента от корпоративной сети, мониторинг аномалий.</t>
  </si>
  <si>
    <t>Отказ или некорректная работа интеграции между подсистемами</t>
  </si>
  <si>
    <t>12 (Средний)</t>
  </si>
  <si>
    <t>Тщательное тестирование интеграции на стенде, поэтапный ввод в эксплуатацию, наличие резервных каналов связи, SLA с интегратором.</t>
  </si>
  <si>
    <t>Ошибки распознавания лиц (отказ в доступе, ложные срабатывания)</t>
  </si>
  <si>
    <t>Выбор качественного ПО с высоким процентом распознавания, настройка порогов чувствительности, наличие альтернативных методов доступа (карты, пин-коды).</t>
  </si>
  <si>
    <t>Потеря данных вследствие отсутствия или некорректного резервного копирования</t>
  </si>
  <si>
    <t>Настройка автоматического резервного копирования, хранение бэкапов в защищенном сегменте, регулярные проверки восстановления данных.</t>
  </si>
  <si>
    <t>DDoS-атаки и недоступность облачной платформы интегратора</t>
  </si>
  <si>
    <t>Заключение SLA с гарантиями доступности, наличие резервного канала связи, проработка сценариев ручного управления доступом.</t>
  </si>
  <si>
    <t>Нарушение сроков внедрения проекта внешним интегратором</t>
  </si>
  <si>
    <t>Детализированный план-график с вехами, штрафные санкции в договоре, еженедельный мониторинг статуса, выделение внутреннего проектного офиса.</t>
  </si>
  <si>
    <t>Превышение бюджета проекта и доп. расходы на устранение уязвимостей</t>
  </si>
  <si>
    <t>Формирование резервного бюджета (10–15%), фиксация цены в договоре, проведение предварительного аудита безопасности для оценки затрат.</t>
  </si>
  <si>
    <t>Ошибки при настройке прав доступа и избыточные права администраторов</t>
  </si>
  <si>
    <t>Внедрение политики минимальных привилегий, разделение административных ролей, регулярный пересмотр прав доступа, логирование действий админов.</t>
  </si>
  <si>
    <t>Отказ работников использовать биометрию и нецелевое использование видео</t>
  </si>
  <si>
    <t>9 (Средний)</t>
  </si>
  <si>
    <t>Проведение разъяснительной кампании, обучение, получение добровольных согласий, внесение изменений в трудовые договоры / правила внутреннего распорядка.</t>
  </si>
  <si>
    <t>Нарушение лицензионных условий, налоговые и бухгалтерские риски при учете ПО и облачных сервисов</t>
  </si>
  <si>
    <t>8 (Средний)</t>
  </si>
  <si>
    <t>Привлечение налогового консультанта, проверка лицензионной чистоты ПО, корректное отражение в бухучете НМА и облачных расходов.</t>
  </si>
  <si>
    <t>&lt; 500 BYN</t>
  </si>
  <si>
    <t>500-3000 BYN</t>
  </si>
  <si>
    <t>соглашение с провайдером</t>
  </si>
  <si>
    <t>3000-20000 BYN</t>
  </si>
  <si>
    <t>20000-100000 BYN</t>
  </si>
  <si>
    <t>&gt;100 000 BYN</t>
  </si>
  <si>
    <t>Штраф до 25 б.в.</t>
  </si>
  <si>
    <t>Штраф 25-50 б.в.</t>
  </si>
  <si>
    <t>Штраф 50–100 б.в., проверка НЦЗПД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</si>
</sst>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scheme val="minor"/>
    </font>
    <font>
      <u/>
      <sz val="11"/>
      <color theme="10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u/>
      <sz val="28"/>
      <color theme="10"/>
      <name val="Calibri"/>
      <family val="2"/>
      <charset val="204"/>
      <scheme val="minor"/>
    </font>
    <font>
      <sz val="11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sz val="10"/>
      <color rgb="FF595959"/>
      <name val="Calibri Light"/>
      <family val="2"/>
      <charset val="204"/>
      <scheme val="major"/>
    </font>
    <font>
      <sz val="10"/>
      <color rgb="FF595959"/>
      <name val="Calibri"/>
      <family val="2"/>
      <charset val="204"/>
      <scheme val="minor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  <font>
      <sz val="12"/>
      <color rgb="FF0F1115"/>
      <name val="Segoe UI"/>
      <family val="2"/>
      <charset val="204"/>
    </font>
    <font>
      <sz val="12"/>
      <color rgb="FF0F1115"/>
      <name val="Segoe UI"/>
      <family val="2"/>
      <charset val="204"/>
    </font>
    <font>
      <sz val="10"/>
      <color theme="1"/>
      <name val="Calibri Light"/>
      <family val="2"/>
      <charset val="204"/>
      <scheme val="major"/>
    </font>
    <font>
      <b/>
      <sz val="10"/>
      <color rgb="FF0F1115"/>
      <name val="Segoe UI"/>
      <family val="2"/>
      <charset val="204"/>
    </font>
    <font>
      <sz val="10"/>
      <color theme="1"/>
      <name val="Calibri"/>
      <family val="2"/>
      <charset val="204"/>
      <scheme val="minor"/>
    </font>
    <font>
      <sz val="10"/>
      <color rgb="FF0F1115"/>
      <name val="Segoe UI"/>
      <family val="2"/>
      <charset val="204"/>
    </font>
    <font>
      <sz val="10"/>
      <color theme="1"/>
      <name val="Segoe UI"/>
      <family val="2"/>
      <charset val="204"/>
    </font>
    <font>
      <sz val="10"/>
      <color rgb="FF0F1115"/>
      <name val="Segoe UI"/>
      <family val="2"/>
      <charset val="204"/>
    </font>
    <font>
      <sz val="10"/>
      <color theme="1"/>
      <name val="Segoe UI"/>
      <family val="2"/>
      <charset val="204"/>
    </font>
    <font>
      <sz val="10"/>
      <color rgb="FF0F1115"/>
      <name val="Segoe UI"/>
      <family val="2"/>
      <charset val="204"/>
    </font>
    <font>
      <sz val="10"/>
      <color theme="1"/>
      <name val="Segoe UI"/>
      <family val="2"/>
      <charset val="204"/>
    </font>
    <font>
      <sz val="12"/>
      <color rgb="FF0F1115"/>
      <name val="Segoe U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rgb="FFC00000"/>
        <bgColor rgb="FFC00000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rgb="FFFFFFFF"/>
        <bgColor indexed="64"/>
      </patternFill>
    </fill>
    <fill>
      <patternFill patternType="solid">
        <fgColor theme="0" tint="-0.149967955565050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 applyNumberFormat="0" applyFill="0" applyBorder="0" applyProtection="0"/>
  </cellStyleXfs>
  <cellXfs count="58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Continuous" wrapText="1"/>
    </xf>
    <xf numFmtId="0" fontId="0" fillId="0" borderId="0" xfId="0" applyAlignment="1">
      <alignment horizontal="centerContinuous"/>
    </xf>
    <xf numFmtId="0" fontId="4" fillId="0" borderId="0" xfId="0" applyFont="1" applyAlignment="1">
      <alignment horizontal="centerContinuous"/>
    </xf>
    <xf numFmtId="0" fontId="6" fillId="0" borderId="0" xfId="0" applyFont="1"/>
    <xf numFmtId="0" fontId="6" fillId="2" borderId="1" xfId="0" applyFont="1" applyFill="1" applyBorder="1" applyAlignment="1">
      <alignment horizontal="centerContinuous" wrapText="1"/>
    </xf>
    <xf numFmtId="0" fontId="6" fillId="0" borderId="0" xfId="0" applyFont="1" applyAlignment="1">
      <alignment horizontal="centerContinuous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/>
    <xf numFmtId="0" fontId="6" fillId="4" borderId="1" xfId="0" applyFont="1" applyFill="1" applyBorder="1"/>
    <xf numFmtId="0" fontId="6" fillId="4" borderId="0" xfId="0" applyFont="1" applyFill="1"/>
    <xf numFmtId="0" fontId="6" fillId="0" borderId="0" xfId="0" applyFont="1" applyAlignment="1">
      <alignment horizontal="left" vertical="center"/>
    </xf>
    <xf numFmtId="0" fontId="6" fillId="5" borderId="1" xfId="0" applyFont="1" applyFill="1" applyBorder="1"/>
    <xf numFmtId="0" fontId="6" fillId="3" borderId="0" xfId="0" applyFont="1" applyFill="1"/>
    <xf numFmtId="0" fontId="6" fillId="5" borderId="0" xfId="0" applyFont="1" applyFill="1"/>
    <xf numFmtId="0" fontId="9" fillId="0" borderId="0" xfId="0" applyFont="1" applyAlignment="1">
      <alignment vertical="center" textRotation="90"/>
    </xf>
    <xf numFmtId="0" fontId="9" fillId="0" borderId="0" xfId="0" applyFont="1" applyAlignment="1">
      <alignment horizontal="center" vertical="center"/>
    </xf>
    <xf numFmtId="0" fontId="6" fillId="5" borderId="3" xfId="0" applyFont="1" applyFill="1" applyBorder="1"/>
    <xf numFmtId="0" fontId="6" fillId="6" borderId="3" xfId="0" applyFont="1" applyFill="1" applyBorder="1"/>
    <xf numFmtId="0" fontId="6" fillId="4" borderId="3" xfId="0" applyFont="1" applyFill="1" applyBorder="1"/>
    <xf numFmtId="0" fontId="6" fillId="6" borderId="1" xfId="0" applyFont="1" applyFill="1" applyBorder="1"/>
    <xf numFmtId="0" fontId="6" fillId="0" borderId="1" xfId="0" applyFont="1" applyBorder="1"/>
    <xf numFmtId="0" fontId="10" fillId="7" borderId="0" xfId="0" applyFont="1" applyFill="1" applyAlignment="1">
      <alignment horizontal="left" vertical="center" wrapText="1" indent="1"/>
    </xf>
    <xf numFmtId="0" fontId="12" fillId="7" borderId="0" xfId="0" applyFont="1" applyFill="1" applyAlignment="1">
      <alignment horizontal="left" vertical="center" wrapText="1" indent="1"/>
    </xf>
    <xf numFmtId="0" fontId="11" fillId="7" borderId="0" xfId="0" applyFont="1" applyFill="1" applyAlignment="1">
      <alignment horizontal="left" vertical="center" wrapText="1" indent="1"/>
    </xf>
    <xf numFmtId="0" fontId="15" fillId="0" borderId="0" xfId="0" applyFont="1"/>
    <xf numFmtId="0" fontId="16" fillId="0" borderId="0" xfId="0" applyFont="1" applyAlignment="1">
      <alignment vertical="center" wrapText="1"/>
    </xf>
    <xf numFmtId="0" fontId="17" fillId="0" borderId="0" xfId="0" applyFont="1"/>
    <xf numFmtId="0" fontId="18" fillId="7" borderId="6" xfId="0" applyFont="1" applyFill="1" applyBorder="1" applyAlignment="1">
      <alignment horizontal="left" vertical="center" wrapText="1" indent="1"/>
    </xf>
    <xf numFmtId="0" fontId="18" fillId="7" borderId="3" xfId="0" applyFont="1" applyFill="1" applyBorder="1" applyAlignment="1">
      <alignment horizontal="left" vertical="center" wrapText="1" indent="1"/>
    </xf>
    <xf numFmtId="0" fontId="18" fillId="7" borderId="7" xfId="0" applyFont="1" applyFill="1" applyBorder="1" applyAlignment="1">
      <alignment horizontal="left" vertical="center" wrapText="1" indent="1"/>
    </xf>
    <xf numFmtId="0" fontId="19" fillId="0" borderId="0" xfId="0" applyFont="1" applyAlignment="1">
      <alignment horizontal="left" vertical="center" wrapText="1" indent="1"/>
    </xf>
    <xf numFmtId="0" fontId="20" fillId="7" borderId="4" xfId="0" applyFont="1" applyFill="1" applyBorder="1" applyAlignment="1">
      <alignment horizontal="left" vertical="center" wrapText="1" indent="1"/>
    </xf>
    <xf numFmtId="0" fontId="20" fillId="7" borderId="1" xfId="0" applyFont="1" applyFill="1" applyBorder="1" applyAlignment="1">
      <alignment horizontal="left" vertical="center" wrapText="1" indent="1"/>
    </xf>
    <xf numFmtId="0" fontId="20" fillId="7" borderId="5" xfId="0" applyFont="1" applyFill="1" applyBorder="1" applyAlignment="1">
      <alignment horizontal="left" vertical="center" wrapText="1" indent="1"/>
    </xf>
    <xf numFmtId="0" fontId="21" fillId="0" borderId="0" xfId="0" applyFont="1" applyAlignment="1">
      <alignment horizontal="left" vertical="center" wrapText="1" indent="1"/>
    </xf>
    <xf numFmtId="0" fontId="22" fillId="7" borderId="4" xfId="0" applyFont="1" applyFill="1" applyBorder="1" applyAlignment="1">
      <alignment horizontal="left" vertical="center" wrapText="1" indent="1"/>
    </xf>
    <xf numFmtId="0" fontId="22" fillId="7" borderId="1" xfId="0" applyFont="1" applyFill="1" applyBorder="1" applyAlignment="1">
      <alignment horizontal="left" vertical="center" wrapText="1" indent="1"/>
    </xf>
    <xf numFmtId="0" fontId="22" fillId="7" borderId="5" xfId="0" applyFont="1" applyFill="1" applyBorder="1" applyAlignment="1">
      <alignment horizontal="left" vertical="center" wrapText="1" indent="1"/>
    </xf>
    <xf numFmtId="0" fontId="23" fillId="0" borderId="0" xfId="0" applyFont="1" applyAlignment="1">
      <alignment horizontal="left" vertical="center" wrapText="1" indent="1"/>
    </xf>
    <xf numFmtId="0" fontId="22" fillId="7" borderId="8" xfId="0" applyFont="1" applyFill="1" applyBorder="1" applyAlignment="1">
      <alignment horizontal="left" vertical="center" wrapText="1" indent="1"/>
    </xf>
    <xf numFmtId="0" fontId="22" fillId="7" borderId="2" xfId="0" applyFont="1" applyFill="1" applyBorder="1" applyAlignment="1">
      <alignment horizontal="left" vertical="center" wrapText="1" indent="1"/>
    </xf>
    <xf numFmtId="0" fontId="22" fillId="7" borderId="9" xfId="0" applyFont="1" applyFill="1" applyBorder="1" applyAlignment="1">
      <alignment horizontal="left" vertical="center" wrapText="1" indent="1"/>
    </xf>
    <xf numFmtId="0" fontId="11" fillId="7" borderId="1" xfId="0" applyFont="1" applyFill="1" applyBorder="1" applyAlignment="1">
      <alignment horizontal="right" vertical="center" wrapText="1" indent="1"/>
    </xf>
    <xf numFmtId="0" fontId="24" fillId="7" borderId="1" xfId="0" applyFont="1" applyFill="1" applyBorder="1" applyAlignment="1">
      <alignment horizontal="left" vertical="center" wrapText="1" indent="1"/>
    </xf>
    <xf numFmtId="0" fontId="13" fillId="7" borderId="1" xfId="0" applyFont="1" applyFill="1" applyBorder="1" applyAlignment="1">
      <alignment horizontal="right" vertical="center" wrapText="1" indent="1"/>
    </xf>
    <xf numFmtId="0" fontId="14" fillId="7" borderId="1" xfId="0" applyFont="1" applyFill="1" applyBorder="1" applyAlignment="1">
      <alignment horizontal="right" vertical="center" wrapText="1" indent="1"/>
    </xf>
    <xf numFmtId="0" fontId="11" fillId="8" borderId="0" xfId="0" applyFont="1" applyFill="1" applyAlignment="1">
      <alignment horizontal="left" vertical="center" wrapText="1" indent="1"/>
    </xf>
    <xf numFmtId="0" fontId="5" fillId="0" borderId="0" xfId="1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textRotation="90"/>
    </xf>
    <xf numFmtId="0" fontId="9" fillId="0" borderId="2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24"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5" tint="0.59996337778862885"/>
          <bgColor theme="5" tint="0.59996337778862885"/>
        </patternFill>
      </fill>
    </dxf>
    <dxf>
      <fill>
        <patternFill patternType="solid">
          <fgColor rgb="FFC00000"/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</font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relativeIndent="0" shrinkToFit="0"/>
    </dxf>
    <dxf>
      <font>
        <strike val="0"/>
        <u val="none"/>
        <vertAlign val="baseline"/>
        <sz val="11"/>
        <color theme="1"/>
        <name val="Calibri Light"/>
        <scheme val="major"/>
      </font>
      <numFmt numFmtId="0" formatCode="General"/>
      <alignment horizontal="center" vertical="center" textRotation="0" wrapText="0" relativeIndent="0" shrinkToFit="0"/>
    </dxf>
    <dxf>
      <font>
        <strike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relativeIndent="0" shrinkToFit="0"/>
    </dxf>
    <dxf>
      <font>
        <strike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relativeIndent="0" shrinkToFit="0"/>
    </dxf>
    <dxf>
      <font>
        <strike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relativeIndent="0" shrinkToFit="0"/>
    </dxf>
    <dxf>
      <font>
        <strike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relativeIndent="0" shrinkToFit="0"/>
    </dxf>
    <dxf>
      <font>
        <strike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relativeIndent="0" shrinkToFit="0"/>
    </dxf>
    <dxf>
      <font>
        <strike val="0"/>
        <u val="none"/>
        <vertAlign val="baseline"/>
        <sz val="11"/>
        <color theme="1"/>
        <name val="Calibri Light"/>
        <scheme val="major"/>
      </font>
      <numFmt numFmtId="0" formatCode="General"/>
      <alignment horizontal="center" vertical="center" textRotation="0" wrapText="0" relativeIndent="0" shrinkToFit="0"/>
    </dxf>
    <dxf>
      <font>
        <strike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relativeIndent="0" shrinkToFit="0"/>
    </dxf>
    <dxf>
      <fill>
        <patternFill patternType="solid">
          <fgColor theme="5" tint="0.59996337778862885"/>
          <bgColor theme="5" tint="0.59996337778862885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rgb="FFC00000"/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'Таблица с рисками'!$G$3</c:f>
              <c:strCache>
                <c:ptCount val="1"/>
                <c:pt idx="0">
                  <c:v>Оценка силы воздействия риска</c:v>
                </c:pt>
              </c:strCache>
            </c:strRef>
          </c:tx>
          <c:spPr>
            <a:prstGeom prst="rect">
              <a:avLst/>
            </a:prstGeom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ru-RU"/>
                      <a:t>R1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mc="http://schemas.openxmlformats.org/markup-compatibility/2006" xmlns:c15="http://schemas.microsoft.com/office/drawing/2012/chart" xmlns:c14="http://schemas.microsoft.com/office/drawing/2007/8/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0F-4538-BD7F-986E0FFFE52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ru-RU"/>
                      <a:t>R2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mc="http://schemas.openxmlformats.org/markup-compatibility/2006" xmlns:c15="http://schemas.microsoft.com/office/drawing/2012/chart" xmlns:c14="http://schemas.microsoft.com/office/drawing/2007/8/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0F-4538-BD7F-986E0FFFE52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ru-RU"/>
                      <a:t>R3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mc="http://schemas.openxmlformats.org/markup-compatibility/2006" xmlns:c15="http://schemas.microsoft.com/office/drawing/2012/chart" xmlns:c14="http://schemas.microsoft.com/office/drawing/2007/8/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0F-4538-BD7F-986E0FFFE52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ru-RU"/>
                      <a:t>R4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mc="http://schemas.openxmlformats.org/markup-compatibility/2006" xmlns:c15="http://schemas.microsoft.com/office/drawing/2012/chart" xmlns:c14="http://schemas.microsoft.com/office/drawing/2007/8/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0F-4538-BD7F-986E0FFFE52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ru-RU"/>
                      <a:t>R5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mc="http://schemas.openxmlformats.org/markup-compatibility/2006" xmlns:c15="http://schemas.microsoft.com/office/drawing/2012/chart" xmlns:c14="http://schemas.microsoft.com/office/drawing/2007/8/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0F-4538-BD7F-986E0FFFE52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ru-RU"/>
                      <a:t>R6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mc="http://schemas.openxmlformats.org/markup-compatibility/2006" xmlns:c15="http://schemas.microsoft.com/office/drawing/2012/chart" xmlns:c14="http://schemas.microsoft.com/office/drawing/2007/8/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60F-4538-BD7F-986E0FFFE52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ru-RU"/>
                      <a:t>R7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mc="http://schemas.openxmlformats.org/markup-compatibility/2006" xmlns:c15="http://schemas.microsoft.com/office/drawing/2012/chart" xmlns:c14="http://schemas.microsoft.com/office/drawing/2007/8/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60F-4538-BD7F-986E0FFFE52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ru-RU"/>
                      <a:t>R8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mc="http://schemas.openxmlformats.org/markup-compatibility/2006" xmlns:c15="http://schemas.microsoft.com/office/drawing/2012/chart" xmlns:c14="http://schemas.microsoft.com/office/drawing/2007/8/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60F-4538-BD7F-986E0FFFE52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ru-RU"/>
                      <a:t>R9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mc="http://schemas.openxmlformats.org/markup-compatibility/2006" xmlns:c15="http://schemas.microsoft.com/office/drawing/2012/chart" xmlns:c14="http://schemas.microsoft.com/office/drawing/2007/8/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60F-4538-BD7F-986E0FFFE52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ru-RU"/>
                      <a:t>R10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mc="http://schemas.openxmlformats.org/markup-compatibility/2006" xmlns:c15="http://schemas.microsoft.com/office/drawing/2012/chart" xmlns:c14="http://schemas.microsoft.com/office/drawing/2007/8/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60F-4538-BD7F-986E0FFFE52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ru-RU"/>
                      <a:t>R11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mc="http://schemas.openxmlformats.org/markup-compatibility/2006" xmlns:c15="http://schemas.microsoft.com/office/drawing/2012/chart" xmlns:c14="http://schemas.microsoft.com/office/drawing/2007/8/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60F-4538-BD7F-986E0FFFE52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ru-RU"/>
                      <a:t>R12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mc="http://schemas.openxmlformats.org/markup-compatibility/2006" xmlns:c15="http://schemas.microsoft.com/office/drawing/2012/chart" xmlns:c14="http://schemas.microsoft.com/office/drawing/2007/8/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60F-4538-BD7F-986E0FFFE52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ru-RU"/>
                      <a:t>R13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mc="http://schemas.openxmlformats.org/markup-compatibility/2006" xmlns:c15="http://schemas.microsoft.com/office/drawing/2012/chart" xmlns:c14="http://schemas.microsoft.com/office/drawing/2007/8/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60F-4538-BD7F-986E0FFFE5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xVal>
            <c:numRef>
              <c:f>'Таблица с рисками'!$F$4:$F$16</c:f>
              <c:numCache>
                <c:formatCode>General</c:formatCode>
                <c:ptCount val="13"/>
                <c:pt idx="0">
                  <c:v>0.7</c:v>
                </c:pt>
                <c:pt idx="1">
                  <c:v>0.6</c:v>
                </c:pt>
                <c:pt idx="2">
                  <c:v>0.4</c:v>
                </c:pt>
                <c:pt idx="3">
                  <c:v>0.3</c:v>
                </c:pt>
                <c:pt idx="4">
                  <c:v>0.5</c:v>
                </c:pt>
                <c:pt idx="5">
                  <c:v>0.3</c:v>
                </c:pt>
                <c:pt idx="6">
                  <c:v>0.3</c:v>
                </c:pt>
                <c:pt idx="7">
                  <c:v>0.5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0.2</c:v>
                </c:pt>
                <c:pt idx="12">
                  <c:v>0.2</c:v>
                </c:pt>
              </c:numCache>
            </c:numRef>
          </c:xVal>
          <c:yVal>
            <c:numRef>
              <c:f>'Таблица с рисками'!$G$4:$G$16</c:f>
              <c:numCache>
                <c:formatCode>General</c:formatCode>
                <c:ptCount val="13"/>
                <c:pt idx="0">
                  <c:v>0.8</c:v>
                </c:pt>
                <c:pt idx="1">
                  <c:v>0.6</c:v>
                </c:pt>
                <c:pt idx="2">
                  <c:v>0.7</c:v>
                </c:pt>
                <c:pt idx="3">
                  <c:v>0.9</c:v>
                </c:pt>
                <c:pt idx="4">
                  <c:v>0.5</c:v>
                </c:pt>
                <c:pt idx="5">
                  <c:v>0.8</c:v>
                </c:pt>
                <c:pt idx="6">
                  <c:v>0.8</c:v>
                </c:pt>
                <c:pt idx="7">
                  <c:v>0.4</c:v>
                </c:pt>
                <c:pt idx="8">
                  <c:v>0.7</c:v>
                </c:pt>
                <c:pt idx="9">
                  <c:v>0.5</c:v>
                </c:pt>
                <c:pt idx="10">
                  <c:v>0.6</c:v>
                </c:pt>
                <c:pt idx="11">
                  <c:v>0.8</c:v>
                </c:pt>
                <c:pt idx="12">
                  <c:v>0.6</c:v>
                </c:pt>
              </c:numCache>
            </c:numRef>
          </c:yVal>
          <c:smooth val="0"/>
          <c:extLst xmlns:mc="http://schemas.openxmlformats.org/markup-compatibility/2006" xmlns:c15="http://schemas.microsoft.com/office/drawing/2012/chart" xmlns:c14="http://schemas.microsoft.com/office/drawing/2007/8/2/chart">
            <c:ext xmlns:c16="http://schemas.microsoft.com/office/drawing/2014/chart" uri="{C3380CC4-5D6E-409C-BE32-E72D297353CC}">
              <c16:uniqueId val="{00000014-F60F-4538-BD7F-986E0FFFE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033823"/>
        <c:axId val="1166029503"/>
      </c:scatterChart>
      <c:valAx>
        <c:axId val="1166033823"/>
        <c:scaling>
          <c:orientation val="minMax"/>
          <c:max val="1"/>
        </c:scaling>
        <c:delete val="0"/>
        <c:axPos val="b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Оценка вероятности возникновения риска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ru-RU"/>
          </a:p>
        </c:txPr>
        <c:crossAx val="1166029503"/>
        <c:crosses val="autoZero"/>
        <c:crossBetween val="midCat"/>
      </c:valAx>
      <c:valAx>
        <c:axId val="1166029503"/>
        <c:scaling>
          <c:orientation val="minMax"/>
          <c:max val="1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Оценка силы воздействия риска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ru-RU"/>
          </a:p>
        </c:txPr>
        <c:crossAx val="1166033823"/>
        <c:crosses val="autoZero"/>
        <c:crossBetween val="midCat"/>
      </c:valAx>
      <c:spPr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>
    <a:xfrm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207062</xdr:colOff>
      <xdr:row>11</xdr:row>
      <xdr:rowOff>39782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2645462" cy="3468782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3</xdr:row>
      <xdr:rowOff>177800</xdr:rowOff>
    </xdr:from>
    <xdr:to>
      <xdr:col>8</xdr:col>
      <xdr:colOff>628649</xdr:colOff>
      <xdr:row>22</xdr:row>
      <xdr:rowOff>120650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247650</xdr:colOff>
      <xdr:row>10</xdr:row>
      <xdr:rowOff>171450</xdr:rowOff>
    </xdr:from>
    <xdr:to>
      <xdr:col>16</xdr:col>
      <xdr:colOff>1257828</xdr:colOff>
      <xdr:row>26</xdr:row>
      <xdr:rowOff>552747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CFFE314-BEE7-4E7E-ADF6-B8170633D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00775" y="2095500"/>
          <a:ext cx="6096528" cy="342929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3:I16">
  <autoFilter ref="A3:I16" xr:uid="{00000000-0009-0000-0100-000001000000}"/>
  <tableColumns count="9">
    <tableColumn id="1" xr3:uid="{00000000-0010-0000-0000-000001000000}" name="Номер риска" dataDxfId="20"/>
    <tableColumn id="2" xr3:uid="{00000000-0010-0000-0000-000002000000}" name="Обозначение риска" dataDxfId="19"/>
    <tableColumn id="3" xr3:uid="{00000000-0010-0000-0000-000003000000}" name="Наименование риска" dataDxfId="18"/>
    <tableColumn id="4" xr3:uid="{00000000-0010-0000-0000-000004000000}" name="Влияние риска на проект/предприятие" dataDxfId="17"/>
    <tableColumn id="5" xr3:uid="{00000000-0010-0000-0000-000005000000}" name="Что является триггером для проявление данного риска?" dataDxfId="16"/>
    <tableColumn id="6" xr3:uid="{00000000-0010-0000-0000-000006000000}" name="Оценка вероятности возникновения риска" dataDxfId="15"/>
    <tableColumn id="7" xr3:uid="{00000000-0010-0000-0000-000007000000}" name="Оценка силы воздействия риска" dataDxfId="14"/>
    <tableColumn id="8" xr3:uid="{00000000-0010-0000-0000-000008000000}" name="Итоговый коэффициент " dataDxfId="13"/>
    <tableColumn id="9" xr3:uid="{00000000-0010-0000-0000-000009000000}" name="Мероприятия по минимизации рисков" dataDxfId="1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7D4388-0ECB-415C-9044-26636133F7C3}" name="Таблица2" displayName="Таблица2" ref="B28:E34" totalsRowShown="0" headerRowDxfId="11" dataDxfId="9" headerRowBorderDxfId="10" tableBorderDxfId="8" totalsRowBorderDxfId="7">
  <tableColumns count="4">
    <tableColumn id="1" xr3:uid="{5C90F1E1-F7D3-4DDC-912C-9EAEBC8C5B86}" name="A" dataDxfId="6"/>
    <tableColumn id="2" xr3:uid="{CCAA69B9-21F9-4D66-A878-F2690EEF5CA6}" name="B" dataDxfId="5"/>
    <tableColumn id="3" xr3:uid="{40B17F16-8F26-4C2B-B2A1-BC5CBB28247E}" name="C" dataDxfId="4"/>
    <tableColumn id="4" xr3:uid="{28B930BA-47C4-4932-B205-F2F4CDD05FC1}" name="D" dataDxfId="3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ourse-excel.ru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4:Q9"/>
  <sheetViews>
    <sheetView workbookViewId="0">
      <selection activeCell="Q16" sqref="Q16"/>
    </sheetView>
  </sheetViews>
  <sheetFormatPr defaultRowHeight="14.5" x14ac:dyDescent="0.35"/>
  <sheetData>
    <row r="4" spans="6:17" ht="26" x14ac:dyDescent="0.6">
      <c r="F4" s="1" t="s">
        <v>0</v>
      </c>
      <c r="G4" s="2"/>
      <c r="H4" s="2"/>
      <c r="I4" s="2"/>
      <c r="J4" s="2"/>
      <c r="K4" s="2"/>
      <c r="L4" s="2"/>
      <c r="M4" s="2"/>
      <c r="N4" s="2"/>
      <c r="O4" s="2"/>
    </row>
    <row r="5" spans="6:17" ht="57.65" customHeight="1" x14ac:dyDescent="0.6">
      <c r="F5" s="3" t="s">
        <v>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6:17" ht="36" x14ac:dyDescent="0.8">
      <c r="F6" s="54" t="s">
        <v>2</v>
      </c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</row>
    <row r="7" spans="6:17" ht="26" x14ac:dyDescent="0.6">
      <c r="F7" s="5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6:17" ht="26" x14ac:dyDescent="0.6">
      <c r="F8" s="5"/>
    </row>
    <row r="9" spans="6:17" ht="26" x14ac:dyDescent="0.6">
      <c r="F9" s="5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</sheetData>
  <sheetProtection algorithmName="SHA-512" hashValue="/+KSBwk/4epURYW2E6vDyfD5Wxc2p8Pu5yChp7B8HttnySsA9xNbek+e/wQw4wDTl6quPtZVGlhqe4W5B9rHBg==" saltValue="h45A85rX9Re0ZbUgDqRMLg==" spinCount="100000" sheet="1" objects="1" scenarios="1"/>
  <mergeCells count="1">
    <mergeCell ref="F6:Q6"/>
  </mergeCells>
  <hyperlinks>
    <hyperlink ref="F6" r:id="rId1" xr:uid="{00000000-0004-0000-0000-000000000000}"/>
  </hyperlinks>
  <pageMargins left="0.7" right="0.7" top="0.75" bottom="0.75" header="0.3" footer="0.3"/>
  <pageSetup paperSize="9" orientation="portrait" verticalDpi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tabSelected="1" workbookViewId="0">
      <selection activeCell="C4" sqref="C4:C18"/>
    </sheetView>
  </sheetViews>
  <sheetFormatPr defaultColWidth="8.7265625" defaultRowHeight="14.5" x14ac:dyDescent="0.35"/>
  <cols>
    <col min="1" max="1" width="7.26953125" style="6" customWidth="1"/>
    <col min="2" max="2" width="13.7265625" style="6" customWidth="1"/>
    <col min="3" max="3" width="60.54296875" style="6" customWidth="1"/>
    <col min="4" max="4" width="26.26953125" style="6" customWidth="1"/>
    <col min="5" max="5" width="24.54296875" style="6" customWidth="1"/>
    <col min="6" max="7" width="19" style="6" customWidth="1"/>
    <col min="8" max="8" width="47.54296875" style="6" customWidth="1"/>
    <col min="9" max="9" width="40.1796875" style="6" customWidth="1"/>
    <col min="10" max="10" width="22.54296875" style="6" customWidth="1"/>
    <col min="11" max="11" width="19.7265625" style="6" customWidth="1"/>
    <col min="12" max="12" width="11.1796875" style="6" customWidth="1"/>
    <col min="13" max="13" width="12.26953125" style="6" customWidth="1"/>
    <col min="14" max="14" width="16.453125" style="6" customWidth="1"/>
    <col min="15" max="15" width="26.453125" style="6" customWidth="1"/>
    <col min="16" max="16" width="25.81640625" style="6" customWidth="1"/>
    <col min="17" max="16384" width="8.7265625" style="6"/>
  </cols>
  <sheetData>
    <row r="1" spans="1:9" x14ac:dyDescent="0.35">
      <c r="A1" s="6" t="s">
        <v>3</v>
      </c>
      <c r="C1" s="7" t="inlineStr">
        <is>
          <t xml:space="preserve">NotaCode — веб-IDE «diagram as code»</t>
        </is>
      </c>
      <c r="D1" s="8"/>
      <c r="E1" s="8"/>
    </row>
    <row r="2" spans="1:9" x14ac:dyDescent="0.35">
      <c r="F2" s="9" t="s">
        <v>4</v>
      </c>
      <c r="G2" s="9" t="s">
        <v>4</v>
      </c>
    </row>
    <row r="3" spans="1:9" s="10" customFormat="1" ht="43.5" x14ac:dyDescent="0.35">
      <c r="A3" s="11" t="s">
        <v>5</v>
      </c>
      <c r="B3" s="11" t="s">
        <v>6</v>
      </c>
      <c r="C3" s="11" t="s">
        <v>7</v>
      </c>
      <c r="D3" s="11" t="s">
        <v>8</v>
      </c>
      <c r="E3" s="11" t="s">
        <v>9</v>
      </c>
      <c r="F3" s="11" t="s">
        <v>10</v>
      </c>
      <c r="G3" s="11" t="s">
        <v>11</v>
      </c>
      <c r="H3" s="11" t="s">
        <v>12</v>
      </c>
      <c r="I3" s="11" t="s">
        <v>13</v>
      </c>
    </row>
    <row r="4" spans="1:9" ht="16.5" x14ac:dyDescent="0.35">
      <c r="A4" s="10">
        <v>1</v>
      </c>
      <c r="B4" s="10" t="str">
        <f>"R "&amp;Таблица1[[#This Row],[Номер риска]]&amp;" "</f>
        <v xml:space="preserve">R 1 </v>
      </c>
      <c r="C4" s="49" t="inlineStr">
        <is>
          <t xml:space="preserve">Объём распределённой архитектуры (7 сервисов) превышает ресурсы одного исполнителя</t>
        </is>
      </c>
      <c r="D4" s="10" t="inlineStr">
        <is>
          <t xml:space="preserve">Срыв MVP к 13.12.2026, неполная демонстрация на защите</t>
        </is>
      </c>
      <c r="E4" s="10" t="inlineStr">
        <is>
          <t xml:space="preserve">Velocity ниже плана два спринта подряд</t>
        </is>
      </c>
      <c r="F4" s="30">
        <v>0.7</v>
      </c>
      <c r="G4" s="30">
        <v>0.8</v>
      </c>
      <c r="H4" s="10">
        <f>Таблица1[[#This Row],[Оценка вероятности возникновения риска]]*Таблица1[[#This Row],[Оценка силы воздействия риска]]</f>
        <v>0.56</v>
      </c>
      <c r="I4" s="10" t="inlineStr">
        <is>
          <t xml:space="preserve">Снижение: Walking skeleton в S0, поэтапное подключение сервисов, перенос Could have в Post-MVP</t>
        </is>
      </c>
    </row>
    <row r="5" spans="1:9" ht="16.5" x14ac:dyDescent="0.35">
      <c r="A5" s="10">
        <v>2</v>
      </c>
      <c r="B5" s="10" t="str">
        <f>"R "&amp;Таблица1[[#This Row],[Номер риска]]&amp;" "</f>
        <v xml:space="preserve">R 2 </v>
      </c>
      <c r="C5" s="49" t="inlineStr">
        <is>
          <t xml:space="preserve">Вытеснение продуктовых задач лабораторными работами ч. 2 (8 ЛР, 4 ПЗ)</t>
        </is>
      </c>
      <c r="D5" s="10" t="inlineStr">
        <is>
          <t xml:space="preserve">Сдвиг спринтов продукта, накопление долга по MVP</t>
        </is>
      </c>
      <c r="E5" s="10" t="inlineStr">
        <is>
          <t xml:space="preserve">Лабораторная работа занимает более одного спринта</t>
        </is>
      </c>
      <c r="F5" s="30">
        <v>0.6</v>
      </c>
      <c r="G5" s="30">
        <v>0.6</v>
      </c>
      <c r="H5" s="10">
        <f>Таблица1[[#This Row],[Оценка вероятности возникновения риска]]*Таблица1[[#This Row],[Оценка силы воздействия риска]]</f>
        <v>0.36</v>
      </c>
      <c r="I5" s="10" t="inlineStr">
        <is>
          <t xml:space="preserve">Снижение: Лабораторная работа реализуется как компонент продукта (Gateway, Web IDE); дорожка Expedite с WIP = 1</t>
        </is>
      </c>
    </row>
    <row r="6" spans="1:9" ht="16.5" x14ac:dyDescent="0.35">
      <c r="A6" s="10">
        <v>3</v>
      </c>
      <c r="B6" s="10" t="str">
        <f>"R "&amp;Таблица1[[#This Row],[Номер риска]]&amp;" "</f>
        <v xml:space="preserve">R 3 </v>
      </c>
      <c r="C6" s="49" t="inlineStr">
        <is>
          <t xml:space="preserve">Расхождение грамматики DSL и профилей нотаций</t>
        </is>
      </c>
      <c r="D6" s="10" t="inlineStr">
        <is>
          <t xml:space="preserve">Ошибки HTTP 500, ложная валидация, несовместимые синтаксисы</t>
        </is>
      </c>
      <c r="E6" s="10" t="inlineStr">
        <is>
          <t xml:space="preserve">Падение контрактных тестов каталога нотаций</t>
        </is>
      </c>
      <c r="F6" s="53">
        <v>0.4</v>
      </c>
      <c r="G6" s="53">
        <v>0.7</v>
      </c>
      <c r="H6" s="10">
        <f>Таблица1[[#This Row],[Оценка вероятности возникновения риска]]*Таблица1[[#This Row],[Оценка силы воздействия риска]]</f>
        <v>0.28</v>
      </c>
      <c r="I6" s="10" t="inlineStr">
        <is>
          <t xml:space="preserve">Уклонение: Единый каталог нотаций в packages/contracts; генерация подсветки, шаблонов и промптов из каталога</t>
        </is>
      </c>
    </row>
    <row r="7" spans="1:9" ht="16.5" x14ac:dyDescent="0.35">
      <c r="A7" s="10">
        <v>4</v>
      </c>
      <c r="B7" s="10" t="str">
        <f>"R "&amp;Таблица1[[#This Row],[Номер риска]]&amp;" "</f>
        <v xml:space="preserve">R 4 </v>
      </c>
      <c r="C7" s="49" t="inlineStr">
        <is>
          <t xml:space="preserve">Хранимая XSS-уязвимость через подписи узлов в SVG</t>
        </is>
      </c>
      <c r="D7" s="10" t="inlineStr">
        <is>
          <t xml:space="preserve">Компрометация сессий пользователей, утечка данных</t>
        </is>
      </c>
      <c r="E7" s="10" t="inlineStr">
        <is>
          <t xml:space="preserve">Замечание аудита безопасности, срабатывание CSP</t>
        </is>
      </c>
      <c r="F7" s="30">
        <v>0.3</v>
      </c>
      <c r="G7" s="30">
        <v>0.9</v>
      </c>
      <c r="H7" s="10">
        <f>Таблица1[[#This Row],[Оценка вероятности возникновения риска]]*Таблица1[[#This Row],[Оценка силы воздействия риска]]</f>
        <v>0.27</v>
      </c>
      <c r="I7" s="10" t="inlineStr">
        <is>
          <t xml:space="preserve">Уклонение: Экранирование подписей в модели, санитизация SVG (DOMPurify), политика CSP</t>
        </is>
      </c>
    </row>
    <row r="8" spans="1:9" ht="16.5" x14ac:dyDescent="0.35">
      <c r="A8" s="10">
        <v>5</v>
      </c>
      <c r="B8" s="10" t="str">
        <f>"R "&amp;Таблица1[[#This Row],[Номер риска]]&amp;" "</f>
        <v xml:space="preserve">R 5 </v>
      </c>
      <c r="C8" s="49" t="inlineStr">
        <is>
          <t xml:space="preserve">Требования 100 % покрытия и отсутствия комментариев замедляют разработку</t>
        </is>
      </c>
      <c r="D8" s="10" t="inlineStr">
        <is>
          <t xml:space="preserve">Рост трудоёмкости задач на 20–30 %</t>
        </is>
      </c>
      <c r="E8" s="10" t="inlineStr">
        <is>
          <t xml:space="preserve">Блокировка слияния конвейером CI более двух дней</t>
        </is>
      </c>
      <c r="F8" s="53">
        <v>0.5</v>
      </c>
      <c r="G8" s="53">
        <v>0.5</v>
      </c>
      <c r="H8" s="10">
        <f>Таблица1[[#This Row],[Оценка вероятности возникновения риска]]*Таблица1[[#This Row],[Оценка силы воздействия риска]]</f>
        <v>0.25</v>
      </c>
      <c r="I8" s="10" t="inlineStr">
        <is>
          <t xml:space="preserve">Снижение: TDD с первого спринта, чистое доменное ядро, моки портов, линтер-правило запрета комментариев</t>
        </is>
      </c>
    </row>
    <row r="9" spans="1:9" ht="16.5" x14ac:dyDescent="0.35">
      <c r="A9" s="10">
        <v>6</v>
      </c>
      <c r="B9" s="10" t="str">
        <f>"R "&amp;Таблица1[[#This Row],[Номер риска]]&amp;" "</f>
        <v xml:space="preserve">R 6 </v>
      </c>
      <c r="C9" s="49" t="inlineStr">
        <is>
          <t xml:space="preserve">Отказ в согласовании Python-сервисов при рекомендованном стеке Node.js</t>
        </is>
      </c>
      <c r="D9" s="10" t="inlineStr">
        <is>
          <t xml:space="preserve">Перенос Language и Workspace Service на Node.js, сдвиг MVP на 2–3 спринта</t>
        </is>
      </c>
      <c r="E9" s="10" t="inlineStr">
        <is>
          <t xml:space="preserve">Замечание руководителя при утверждении раздела 2.1 записки</t>
        </is>
      </c>
      <c r="F9" s="10">
        <v>0.3</v>
      </c>
      <c r="G9" s="10">
        <v>0.8</v>
      </c>
      <c r="H9" s="10">
        <f>Таблица1[[#This Row],[Оценка вероятности возникновения риска]]*Таблица1[[#This Row],[Оценка силы воздействия риска]]</f>
        <v>0.24</v>
      </c>
      <c r="I9" s="10" t="inlineStr">
        <is>
          <t xml:space="preserve">Снижение: Обоснование выбора в разделе 2.1, согласование в спринте S1; Gateway на Node.js закрывает требования ЛР1–ЛР8</t>
        </is>
      </c>
    </row>
    <row r="10" spans="1:9" ht="16.5" x14ac:dyDescent="0.35">
      <c r="A10" s="10">
        <v>7</v>
      </c>
      <c r="B10" s="10" t="str">
        <f>"R "&amp;Таблица1[[#This Row],[Номер риска]]&amp;" "</f>
        <v xml:space="preserve">R 7 </v>
      </c>
      <c r="C10" s="49" t="inlineStr">
        <is>
          <t xml:space="preserve">Перегрузка или болезнь единственного исполнителя</t>
        </is>
      </c>
      <c r="D10" s="10" t="inlineStr">
        <is>
          <t xml:space="preserve">Остановка всех работ проекта</t>
        </is>
      </c>
      <c r="E10" s="10" t="inlineStr">
        <is>
          <t xml:space="preserve">Невыполнение цели спринта по причинам вне проекта</t>
        </is>
      </c>
      <c r="F10" s="10">
        <v>0.3</v>
      </c>
      <c r="G10" s="10">
        <v>0.8</v>
      </c>
      <c r="H10" s="10">
        <f>Таблица1[[#This Row],[Оценка вероятности возникновения риска]]*Таблица1[[#This Row],[Оценка силы воздействия риска]]</f>
        <v>0.24</v>
      </c>
      <c r="I10" s="10" t="inlineStr">
        <is>
          <t xml:space="preserve">Принятие: Буферный спринт S12, документация и ADR в репозитории, автоматизация рутинных задач</t>
        </is>
      </c>
    </row>
    <row r="11" spans="1:9" ht="16.5" x14ac:dyDescent="0.35">
      <c r="A11" s="10">
        <v>8</v>
      </c>
      <c r="B11" s="10" t="str">
        <f>"R "&amp;Таблица1[[#This Row],[Номер риска]]&amp;" "</f>
        <v xml:space="preserve">R 8 </v>
      </c>
      <c r="C11" s="49" t="inlineStr">
        <is>
          <t xml:space="preserve">Изменение или отмена бесплатных лимитов LLM API</t>
        </is>
      </c>
      <c r="D11" s="10" t="inlineStr">
        <is>
          <t xml:space="preserve">AI-ассистент доступен только в режиме заглушки</t>
        </is>
      </c>
      <c r="E11" s="10" t="inlineStr">
        <is>
          <t xml:space="preserve">Ответы HTTP 429, отзыв ключа, закрытие сервиса провайдером</t>
        </is>
      </c>
      <c r="F11" s="10">
        <v>0.5</v>
      </c>
      <c r="G11" s="10">
        <v>0.4</v>
      </c>
      <c r="H11" s="10">
        <f>Таблица1[[#This Row],[Оценка вероятности возникновения риска]]*Таблица1[[#This Row],[Оценка силы воздействия риска]]</f>
        <v>0.2</v>
      </c>
      <c r="I11" s="10" t="inlineStr">
        <is>
          <t xml:space="preserve">Снижение: Адаптеры нескольких провайдеров (Gemini, Groq, OpenRouter, Mistral), заглушка по умолчанию, локальный Ollama</t>
        </is>
      </c>
    </row>
    <row r="12" spans="1:9" ht="16.5" x14ac:dyDescent="0.35">
      <c r="A12" s="10">
        <v>9</v>
      </c>
      <c r="B12" s="10" t="str">
        <f>"R "&amp;Таблица1[[#This Row],[Номер риска]]&amp;" "</f>
        <v xml:space="preserve">R 9 </v>
      </c>
      <c r="C12" s="49" t="inlineStr">
        <is>
          <t xml:space="preserve">Изменение бесплатных тарифов хостинга (Render, Neon, CloudAMQP, Upstash)</t>
        </is>
      </c>
      <c r="D12" s="10" t="inlineStr">
        <is>
          <t xml:space="preserve">Недоступность демонстрационного стенда на защите</t>
        </is>
      </c>
      <c r="E12" s="10" t="inlineStr">
        <is>
          <t xml:space="preserve">Уведомление провайдера, превышение лимита</t>
        </is>
      </c>
      <c r="F12" s="10">
        <v>0.3</v>
      </c>
      <c r="G12" s="10">
        <v>0.7</v>
      </c>
      <c r="H12" s="10">
        <f>Таблица1[[#This Row],[Оценка вероятности возникновения риска]]*Таблица1[[#This Row],[Оценка силы воздействия риска]]</f>
        <v>0.21</v>
      </c>
      <c r="I12" s="10" t="inlineStr">
        <is>
          <t xml:space="preserve">Передача: Резервный провайдер (Fly.io), локальный стенд docker compose для демонстрации</t>
        </is>
      </c>
    </row>
    <row r="13" spans="1:9" ht="16.5" x14ac:dyDescent="0.35">
      <c r="A13" s="10">
        <v>10</v>
      </c>
      <c r="B13" s="10" t="str">
        <f>"R "&amp;Таблица1[[#This Row],[Номер риска]]&amp;" "</f>
        <v xml:space="preserve">R 10 </v>
      </c>
      <c r="C13" s="49" t="inlineStr">
        <is>
          <t xml:space="preserve">Время Run превышает 300 мс для диаграммы из 200 узлов</t>
        </is>
      </c>
      <c r="D13" s="10" t="inlineStr">
        <is>
          <t xml:space="preserve">Невыполнение NFR производительности, задержки интерфейса</t>
        </is>
      </c>
      <c r="E13" s="10" t="inlineStr">
        <is>
          <t xml:space="preserve">Результаты нагрузочного теста анализа</t>
        </is>
      </c>
      <c r="F13" s="10">
        <v>0.3</v>
      </c>
      <c r="G13" s="10">
        <v>0.5</v>
      </c>
      <c r="H13" s="10">
        <f>Таблица1[[#This Row],[Оценка вероятности возникновения риска]]*Таблица1[[#This Row],[Оценка силы воздействия риска]]</f>
        <v>0.15</v>
      </c>
      <c r="I13" s="10" t="inlineStr">
        <is>
          <t xml:space="preserve">Снижение: Кэш анализа в Redis по хэшу текста, раскладка elkjs в Web Worker, профилирование парсера</t>
        </is>
      </c>
    </row>
    <row r="14" spans="1:9" ht="16.5" x14ac:dyDescent="0.35">
      <c r="A14" s="10">
        <v>11</v>
      </c>
      <c r="B14" s="10" t="str">
        <f>"R "&amp;Таблица1[[#This Row],[Номер риска]]&amp;" "</f>
        <v xml:space="preserve">R 11 </v>
      </c>
      <c r="C14" s="49" t="inlineStr">
        <is>
          <t xml:space="preserve">Перенос даты защиты на более ранний срок</t>
        </is>
      </c>
      <c r="D14" s="10" t="inlineStr">
        <is>
          <t xml:space="preserve">Сокращение объёма MVP</t>
        </is>
      </c>
      <c r="E14" s="10" t="inlineStr">
        <is>
          <t xml:space="preserve">Объявление расписания защиты</t>
        </is>
      </c>
      <c r="F14" s="10">
        <v>0.3</v>
      </c>
      <c r="G14" s="10">
        <v>0.6</v>
      </c>
      <c r="H14" s="10">
        <f>Таблица1[[#This Row],[Оценка вероятности возникновения риска]]*Таблица1[[#This Row],[Оценка силы воздействия риска]]</f>
        <v>0.18</v>
      </c>
      <c r="I14" s="10" t="inlineStr">
        <is>
          <t xml:space="preserve">Принятие: Запрос даты у руководителя в спринте S1, приоритизация MoSCoW, перенос Should have в Post-MVP</t>
        </is>
      </c>
    </row>
    <row r="15" spans="1:9" ht="16.5" x14ac:dyDescent="0.35">
      <c r="A15" s="10">
        <v>12</v>
      </c>
      <c r="B15" s="10" t="str">
        <f>"R "&amp;Таблица1[[#This Row],[Номер риска]]&amp;" "</f>
        <v xml:space="preserve">R 12 </v>
      </c>
      <c r="C15" s="49" t="inlineStr">
        <is>
          <t xml:space="preserve">Утечка API-ключей и OAuth-токенов</t>
        </is>
      </c>
      <c r="D15" s="10" t="inlineStr">
        <is>
          <t xml:space="preserve">Блокировка ключей, несанкционированные расходы, репутационный ущерб</t>
        </is>
      </c>
      <c r="E15" s="10" t="inlineStr">
        <is>
          <t xml:space="preserve">Срабатывание secret scanning GitHub</t>
        </is>
      </c>
      <c r="F15" s="10">
        <v>0.2</v>
      </c>
      <c r="G15" s="10">
        <v>0.8</v>
      </c>
      <c r="H15" s="10">
        <f>Таблица1[[#This Row],[Оценка вероятности возникновения риска]]*Таблица1[[#This Row],[Оценка силы воздействия риска]]</f>
        <v>0.16</v>
      </c>
      <c r="I15" s="10" t="inlineStr">
        <is>
          <t xml:space="preserve">Уклонение: Секреты только на сервере (env, Vault), шифрование токенов AES-GCM, gitleaks в CI</t>
        </is>
      </c>
    </row>
    <row r="16" spans="1:9" ht="16.5" x14ac:dyDescent="0.35">
      <c r="A16" s="10">
        <v>13</v>
      </c>
      <c r="B16" s="10" t="str">
        <f>"R "&amp;Таблица1[[#This Row],[Номер риска]]&amp;" "</f>
        <v xml:space="preserve">R 13 </v>
      </c>
      <c r="C16" s="49" t="inlineStr">
        <is>
          <t xml:space="preserve">Нарушение Закона РБ № 99-З при обработке персональных данных</t>
        </is>
      </c>
      <c r="D16" s="10" t="inlineStr">
        <is>
          <t xml:space="preserve">Штраф, проверка НЦЗПД</t>
        </is>
      </c>
      <c r="E16" s="10" t="inlineStr">
        <is>
          <t xml:space="preserve">Запуск регистрации без политики обработки ПДн</t>
        </is>
      </c>
      <c r="F16" s="10">
        <v>0.2</v>
      </c>
      <c r="G16" s="10">
        <v>0.6</v>
      </c>
      <c r="H16" s="10">
        <f>Таблица1[[#This Row],[Оценка вероятности возникновения риска]]*Таблица1[[#This Row],[Оценка силы воздействия риска]]</f>
        <v>0.12</v>
      </c>
      <c r="I16" s="10" t="inlineStr">
        <is>
          <t xml:space="preserve">Уклонение: Политика обработки ПДн, согласие при регистрации, минимизация состава данных (e-mail, хэш пароля)</t>
        </is>
      </c>
    </row>
    <row r="27" spans="1:16" ht="16" x14ac:dyDescent="0.35">
      <c r="B27" s="31"/>
      <c r="C27" s="32" t="s">
        <v>58</v>
      </c>
      <c r="D27" s="31"/>
      <c r="E27" s="31"/>
      <c r="F27" s="31"/>
      <c r="G27" s="32" t="s">
        <v>74</v>
      </c>
      <c r="H27" s="31"/>
      <c r="I27" s="31"/>
      <c r="J27" s="31"/>
      <c r="L27" s="33"/>
      <c r="M27" s="33"/>
      <c r="N27" s="33"/>
      <c r="O27" s="33"/>
      <c r="P27" s="33"/>
    </row>
    <row r="28" spans="1:16" ht="32" x14ac:dyDescent="0.35">
      <c r="B28" s="34" t="s">
        <v>35</v>
      </c>
      <c r="C28" s="35" t="s">
        <v>36</v>
      </c>
      <c r="D28" s="35" t="s">
        <v>37</v>
      </c>
      <c r="E28" s="36" t="s">
        <v>38</v>
      </c>
      <c r="F28" s="31"/>
      <c r="G28" s="41" t="s">
        <v>39</v>
      </c>
      <c r="H28" s="41" t="s">
        <v>40</v>
      </c>
      <c r="I28" s="41" t="s">
        <v>59</v>
      </c>
      <c r="J28" s="41" t="s">
        <v>60</v>
      </c>
      <c r="K28" s="41" t="s">
        <v>61</v>
      </c>
      <c r="L28" s="37"/>
      <c r="M28" s="37"/>
      <c r="N28" s="37"/>
      <c r="O28" s="37"/>
      <c r="P28" s="37"/>
    </row>
    <row r="29" spans="1:16" ht="16" x14ac:dyDescent="0.35">
      <c r="B29" s="38" t="s">
        <v>39</v>
      </c>
      <c r="C29" s="39" t="s">
        <v>40</v>
      </c>
      <c r="D29" s="39" t="s">
        <v>41</v>
      </c>
      <c r="E29" s="40" t="s">
        <v>42</v>
      </c>
      <c r="F29" s="31"/>
      <c r="G29" s="45">
        <v>1</v>
      </c>
      <c r="H29" s="45" t="s">
        <v>62</v>
      </c>
      <c r="I29" s="45" t="s">
        <v>139</v>
      </c>
      <c r="J29" s="45" t="s">
        <v>63</v>
      </c>
      <c r="K29" s="45" t="s">
        <v>64</v>
      </c>
    </row>
    <row r="30" spans="1:16" ht="16" x14ac:dyDescent="0.35">
      <c r="B30" s="42">
        <v>1</v>
      </c>
      <c r="C30" s="43" t="s">
        <v>43</v>
      </c>
      <c r="D30" s="43" t="s">
        <v>44</v>
      </c>
      <c r="E30" s="44" t="s">
        <v>45</v>
      </c>
      <c r="F30" s="31"/>
      <c r="G30" s="45">
        <v>2</v>
      </c>
      <c r="H30" s="45" t="s">
        <v>65</v>
      </c>
      <c r="I30" s="45" t="s">
        <v>140</v>
      </c>
      <c r="J30" s="45" t="s">
        <v>66</v>
      </c>
      <c r="K30" s="37" t="s">
        <v>145</v>
      </c>
    </row>
    <row r="31" spans="1:16" ht="16" x14ac:dyDescent="0.35">
      <c r="B31" s="42">
        <v>2</v>
      </c>
      <c r="C31" s="43" t="s">
        <v>46</v>
      </c>
      <c r="D31" s="43" t="s">
        <v>47</v>
      </c>
      <c r="E31" s="44" t="s">
        <v>48</v>
      </c>
      <c r="F31" s="31"/>
      <c r="G31" s="45">
        <v>3</v>
      </c>
      <c r="H31" s="45" t="s">
        <v>67</v>
      </c>
      <c r="I31" s="37" t="s">
        <v>142</v>
      </c>
      <c r="J31" s="45" t="s">
        <v>68</v>
      </c>
      <c r="K31" s="37" t="s">
        <v>146</v>
      </c>
    </row>
    <row r="32" spans="1:16" ht="32" x14ac:dyDescent="0.35">
      <c r="B32" s="42">
        <v>3</v>
      </c>
      <c r="C32" s="43" t="s">
        <v>49</v>
      </c>
      <c r="D32" s="43" t="s">
        <v>50</v>
      </c>
      <c r="E32" s="44" t="s">
        <v>51</v>
      </c>
      <c r="F32" s="31"/>
      <c r="G32" s="45">
        <v>4</v>
      </c>
      <c r="H32" s="45" t="s">
        <v>69</v>
      </c>
      <c r="I32" s="37" t="s">
        <v>143</v>
      </c>
      <c r="J32" s="45" t="s">
        <v>70</v>
      </c>
      <c r="K32" s="37" t="s">
        <v>147</v>
      </c>
    </row>
    <row r="33" spans="2:11" ht="48" x14ac:dyDescent="0.35">
      <c r="B33" s="42">
        <v>4</v>
      </c>
      <c r="C33" s="43" t="s">
        <v>52</v>
      </c>
      <c r="D33" s="43" t="s">
        <v>53</v>
      </c>
      <c r="E33" s="44" t="s">
        <v>54</v>
      </c>
      <c r="F33" s="31"/>
      <c r="G33" s="45">
        <v>5</v>
      </c>
      <c r="H33" s="45" t="s">
        <v>71</v>
      </c>
      <c r="I33" s="37" t="s">
        <v>144</v>
      </c>
      <c r="J33" s="45" t="s">
        <v>72</v>
      </c>
      <c r="K33" s="45" t="s">
        <v>73</v>
      </c>
    </row>
    <row r="34" spans="2:11" ht="16" x14ac:dyDescent="0.35">
      <c r="B34" s="46">
        <v>5</v>
      </c>
      <c r="C34" s="47" t="s">
        <v>55</v>
      </c>
      <c r="D34" s="47" t="s">
        <v>56</v>
      </c>
      <c r="E34" s="48" t="s">
        <v>57</v>
      </c>
      <c r="F34" s="31"/>
      <c r="G34" s="31"/>
      <c r="H34" s="31"/>
      <c r="I34" s="31"/>
      <c r="J34" s="31"/>
      <c r="K34" s="41"/>
    </row>
  </sheetData>
  <conditionalFormatting sqref="A19:I23 D4:E8 H4:I8 A4:B18 D9:I18">
    <cfRule type="expression" dxfId="23" priority="6">
      <formula>$H4&gt;0.505</formula>
    </cfRule>
  </conditionalFormatting>
  <conditionalFormatting sqref="A19:I23 D4:E8 H4:I8 A4:B18 D9:I18">
    <cfRule type="expression" dxfId="22" priority="5">
      <formula>AND($H4&lt;0.14,$H4&gt;0)</formula>
    </cfRule>
  </conditionalFormatting>
  <conditionalFormatting sqref="A19:I23 D4:E8 H4:I8 A4:B18 D9:I18">
    <cfRule type="expression" dxfId="21" priority="1">
      <formula>AND($H4&lt;=0.505,$H4&gt;=0.14)</formula>
    </cfRule>
  </conditionalFormatting>
  <pageMargins left="0.7" right="0.7" top="0.75" bottom="0.75" header="0.3" footer="0.3"/>
  <pageSetup paperSize="9" orientation="portrait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60"/>
  <sheetViews>
    <sheetView workbookViewId="0">
      <selection activeCell="O29" sqref="O29"/>
    </sheetView>
  </sheetViews>
  <sheetFormatPr defaultColWidth="8.7265625" defaultRowHeight="14.5" x14ac:dyDescent="0.35"/>
  <cols>
    <col min="1" max="1" width="4.7265625" style="6" customWidth="1"/>
    <col min="2" max="2" width="6.81640625" style="6" customWidth="1"/>
    <col min="3" max="12" width="9.7265625" style="6" customWidth="1"/>
    <col min="13" max="13" width="5.7265625" style="6" customWidth="1"/>
    <col min="14" max="14" width="8.7265625" style="6"/>
    <col min="15" max="15" width="20.453125" style="6" customWidth="1"/>
    <col min="16" max="16" width="22" style="6" customWidth="1"/>
    <col min="17" max="17" width="21.26953125" style="6" customWidth="1"/>
    <col min="18" max="16384" width="8.7265625" style="6"/>
  </cols>
  <sheetData>
    <row r="1" spans="1:25" ht="15.5" x14ac:dyDescent="0.35">
      <c r="A1" s="12" t="str">
        <f>"Карта рисков для проекта "&amp;'Таблица с рисками'!C1</f>
        <v xml:space="preserve">Карта рисков для проекта </v>
      </c>
    </row>
    <row r="2" spans="1:25" ht="15.5" x14ac:dyDescent="0.35">
      <c r="A2" s="12"/>
    </row>
    <row r="3" spans="1:25" x14ac:dyDescent="0.35">
      <c r="A3" s="6" t="s">
        <v>14</v>
      </c>
    </row>
    <row r="5" spans="1:25" x14ac:dyDescent="0.35"/>
    <row r="6" spans="1:25" x14ac:dyDescent="0.35"/>
    <row r="7" spans="1:25" x14ac:dyDescent="0.35"/>
    <row r="8" spans="1:25" x14ac:dyDescent="0.35"/>
    <row r="9" spans="1:25" x14ac:dyDescent="0.35"/>
    <row r="14" spans="1:25" x14ac:dyDescent="0.35"/>
    <row r="22" spans="1:24" x14ac:dyDescent="0.35"/>
    <row r="23" spans="1:24" x14ac:dyDescent="0.35"/>
    <row r="25" spans="1:24" x14ac:dyDescent="0.35">
      <c r="A25" s="6" t="s">
        <v>20</v>
      </c>
    </row>
    <row r="27" spans="1:24" ht="47.5" customHeight="1" x14ac:dyDescent="0.35">
      <c r="A27" s="56" t="s">
        <v>11</v>
      </c>
      <c r="B27" s="13" t="s">
        <v>21</v>
      </c>
      <c r="C27" s="14"/>
      <c r="D27" s="14"/>
      <c r="E27" s="15"/>
      <c r="F27" s="15"/>
      <c r="J27" s="10"/>
      <c r="K27" s="10"/>
    </row>
    <row r="28" spans="1:24" ht="47.5" customHeight="1" x14ac:dyDescent="0.35">
      <c r="A28" s="56"/>
      <c r="B28" s="13" t="s">
        <v>22</v>
      </c>
      <c r="C28" s="14"/>
      <c r="D28" s="14"/>
      <c r="E28" s="14"/>
      <c r="F28" s="15"/>
      <c r="H28" s="16"/>
      <c r="I28" s="17" t="s">
        <v>23</v>
      </c>
      <c r="J28" s="10"/>
      <c r="K28" s="10"/>
    </row>
    <row r="29" spans="1:24" ht="47.5" customHeight="1" x14ac:dyDescent="0.35">
      <c r="A29" s="56"/>
      <c r="B29" s="13" t="s">
        <v>24</v>
      </c>
      <c r="C29" s="18"/>
      <c r="D29" s="14"/>
      <c r="E29" s="14"/>
      <c r="F29" s="14"/>
      <c r="H29" s="19"/>
      <c r="I29" s="17" t="s">
        <v>25</v>
      </c>
      <c r="J29" s="10"/>
      <c r="K29" s="10"/>
    </row>
    <row r="30" spans="1:24" ht="47.5" customHeight="1" x14ac:dyDescent="0.35">
      <c r="A30" s="56"/>
      <c r="B30" s="13" t="s">
        <v>26</v>
      </c>
      <c r="C30" s="18"/>
      <c r="D30" s="18"/>
      <c r="E30" s="14"/>
      <c r="F30" s="14"/>
      <c r="H30" s="20"/>
      <c r="I30" s="17" t="s">
        <v>27</v>
      </c>
      <c r="J30" s="10"/>
      <c r="K30" s="10"/>
    </row>
    <row r="31" spans="1:24" ht="47.5" customHeight="1" x14ac:dyDescent="0.35">
      <c r="A31" s="56"/>
      <c r="B31" s="13">
        <v>0</v>
      </c>
      <c r="C31" s="13" t="s">
        <v>28</v>
      </c>
      <c r="D31" s="13" t="s">
        <v>29</v>
      </c>
      <c r="E31" s="13" t="s">
        <v>22</v>
      </c>
      <c r="F31" s="13" t="s">
        <v>30</v>
      </c>
    </row>
    <row r="32" spans="1:24" ht="25" customHeight="1" x14ac:dyDescent="0.35">
      <c r="A32" s="21"/>
      <c r="B32" s="57" t="s">
        <v>10</v>
      </c>
      <c r="C32" s="57"/>
      <c r="D32" s="57"/>
      <c r="E32" s="57"/>
      <c r="F32" s="57"/>
    </row>
    <row r="33" spans="1:16" ht="25" customHeight="1" x14ac:dyDescent="0.35">
      <c r="B33" s="21"/>
      <c r="C33" s="22"/>
      <c r="D33" s="22"/>
      <c r="E33" s="22"/>
      <c r="F33" s="22"/>
      <c r="G33" s="22"/>
    </row>
    <row r="34" spans="1:16" ht="25" customHeight="1" x14ac:dyDescent="0.35">
      <c r="B34" s="21"/>
      <c r="C34" s="22"/>
      <c r="D34" s="22"/>
      <c r="E34" s="22"/>
      <c r="F34" s="22"/>
      <c r="G34" s="22"/>
    </row>
    <row r="35" spans="1:16" x14ac:dyDescent="0.35">
      <c r="A35" s="56" t="s">
        <v>11</v>
      </c>
      <c r="B35" s="6">
        <v>1</v>
      </c>
      <c r="C35" s="23"/>
      <c r="D35" s="24"/>
      <c r="E35" s="24"/>
      <c r="F35" s="24"/>
      <c r="G35" s="24"/>
      <c r="H35" s="25"/>
      <c r="I35" s="25"/>
      <c r="J35" s="25"/>
      <c r="K35" s="25"/>
      <c r="L35" s="25"/>
    </row>
    <row r="36" spans="1:16" ht="14.5" customHeight="1" x14ac:dyDescent="0.35">
      <c r="A36" s="56"/>
      <c r="B36" s="6">
        <v>0.9</v>
      </c>
      <c r="C36" s="18"/>
      <c r="D36" s="26"/>
      <c r="E36" s="26"/>
      <c r="F36" s="26"/>
      <c r="G36" s="26"/>
      <c r="H36" s="15"/>
      <c r="I36" s="15"/>
      <c r="J36" s="15"/>
      <c r="K36" s="15"/>
      <c r="L36" s="15"/>
      <c r="P36" s="10" t="s">
        <v>12</v>
      </c>
    </row>
    <row r="37" spans="1:16" x14ac:dyDescent="0.35">
      <c r="A37" s="56"/>
      <c r="B37" s="6">
        <v>0.8</v>
      </c>
      <c r="C37" s="18"/>
      <c r="D37" s="26"/>
      <c r="E37" s="26"/>
      <c r="F37" s="26"/>
      <c r="G37" s="26"/>
      <c r="H37" s="26"/>
      <c r="I37" s="15"/>
      <c r="J37" s="15"/>
      <c r="K37" s="15"/>
      <c r="L37" s="15"/>
      <c r="N37" s="16"/>
      <c r="O37" s="10" t="s">
        <v>23</v>
      </c>
      <c r="P37" s="10" t="s">
        <v>31</v>
      </c>
    </row>
    <row r="38" spans="1:16" ht="14.5" customHeight="1" x14ac:dyDescent="0.35">
      <c r="A38" s="56"/>
      <c r="B38" s="6">
        <v>0.7</v>
      </c>
      <c r="C38" s="18"/>
      <c r="D38" s="26"/>
      <c r="E38" s="26"/>
      <c r="F38" s="26"/>
      <c r="G38" s="26"/>
      <c r="H38" s="26"/>
      <c r="I38" s="26"/>
      <c r="J38" s="15"/>
      <c r="K38" s="15"/>
      <c r="L38" s="15"/>
      <c r="N38" s="19"/>
      <c r="O38" s="10" t="s">
        <v>25</v>
      </c>
      <c r="P38" s="10" t="s">
        <v>32</v>
      </c>
    </row>
    <row r="39" spans="1:16" x14ac:dyDescent="0.35">
      <c r="A39" s="56"/>
      <c r="B39" s="6">
        <v>0.6</v>
      </c>
      <c r="C39" s="18"/>
      <c r="D39" s="18"/>
      <c r="E39" s="26"/>
      <c r="F39" s="26"/>
      <c r="G39" s="26"/>
      <c r="H39" s="26"/>
      <c r="I39" s="26"/>
      <c r="J39" s="26"/>
      <c r="K39" s="15"/>
      <c r="L39" s="15"/>
      <c r="N39" s="20"/>
      <c r="O39" s="10" t="s">
        <v>27</v>
      </c>
      <c r="P39" s="10" t="s">
        <v>33</v>
      </c>
    </row>
    <row r="40" spans="1:16" x14ac:dyDescent="0.35">
      <c r="A40" s="56"/>
      <c r="B40" s="6">
        <v>0.5</v>
      </c>
      <c r="C40" s="18"/>
      <c r="D40" s="18"/>
      <c r="E40" s="26"/>
      <c r="F40" s="26"/>
      <c r="G40" s="26"/>
      <c r="H40" s="26"/>
      <c r="I40" s="26"/>
      <c r="J40" s="26"/>
      <c r="K40" s="26"/>
      <c r="L40" s="26"/>
    </row>
    <row r="41" spans="1:16" x14ac:dyDescent="0.35">
      <c r="A41" s="56"/>
      <c r="B41" s="6">
        <v>0.4</v>
      </c>
      <c r="C41" s="18"/>
      <c r="D41" s="18"/>
      <c r="E41" s="18"/>
      <c r="F41" s="26"/>
      <c r="G41" s="26"/>
      <c r="H41" s="26"/>
      <c r="I41" s="26"/>
      <c r="J41" s="26"/>
      <c r="K41" s="26"/>
      <c r="L41" s="26"/>
    </row>
    <row r="42" spans="1:16" x14ac:dyDescent="0.35">
      <c r="A42" s="56"/>
      <c r="B42" s="6">
        <v>0.3</v>
      </c>
      <c r="C42" s="18"/>
      <c r="D42" s="18"/>
      <c r="E42" s="18"/>
      <c r="F42" s="18"/>
      <c r="G42" s="26"/>
      <c r="H42" s="26"/>
      <c r="I42" s="26"/>
      <c r="J42" s="26"/>
      <c r="K42" s="26"/>
      <c r="L42" s="26"/>
    </row>
    <row r="43" spans="1:16" x14ac:dyDescent="0.35">
      <c r="A43" s="56"/>
      <c r="B43" s="6">
        <v>0.2</v>
      </c>
      <c r="C43" s="18"/>
      <c r="D43" s="18"/>
      <c r="E43" s="18"/>
      <c r="F43" s="18"/>
      <c r="G43" s="18"/>
      <c r="H43" s="18"/>
      <c r="I43" s="26"/>
      <c r="J43" s="26"/>
      <c r="K43" s="26"/>
      <c r="L43" s="26"/>
    </row>
    <row r="44" spans="1:16" x14ac:dyDescent="0.35">
      <c r="A44" s="56"/>
      <c r="B44" s="6">
        <v>0.1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</row>
    <row r="45" spans="1:16" x14ac:dyDescent="0.35">
      <c r="B45" s="6">
        <v>0</v>
      </c>
      <c r="C45" s="6">
        <v>0.1</v>
      </c>
      <c r="D45" s="6">
        <v>0.2</v>
      </c>
      <c r="E45" s="6">
        <v>0.3</v>
      </c>
      <c r="F45" s="6">
        <v>0.4</v>
      </c>
      <c r="G45" s="6">
        <v>0.5</v>
      </c>
      <c r="H45" s="6">
        <v>0.6</v>
      </c>
      <c r="I45" s="6">
        <v>0.7</v>
      </c>
      <c r="J45" s="6">
        <v>0.8</v>
      </c>
      <c r="K45" s="6">
        <v>0.9</v>
      </c>
      <c r="L45" s="6">
        <v>1</v>
      </c>
    </row>
    <row r="46" spans="1:16" ht="25" customHeight="1" x14ac:dyDescent="0.35">
      <c r="E46" s="55" t="s">
        <v>10</v>
      </c>
      <c r="F46" s="55"/>
      <c r="G46" s="55"/>
      <c r="H46" s="55"/>
      <c r="I46" s="55"/>
    </row>
    <row r="47" spans="1:16" ht="25" customHeight="1" x14ac:dyDescent="0.35">
      <c r="A47" s="6" t="s">
        <v>34</v>
      </c>
    </row>
    <row r="48" spans="1:16" ht="25" customHeight="1" x14ac:dyDescent="0.35"/>
    <row r="49" spans="1:16" ht="25" customHeight="1" x14ac:dyDescent="0.35">
      <c r="A49" s="56" t="s">
        <v>11</v>
      </c>
      <c r="B49" s="6">
        <v>1</v>
      </c>
      <c r="C49" s="27">
        <f t="shared" ref="C49:L58" si="0">$B49*C$59</f>
        <v>0.1</v>
      </c>
      <c r="D49" s="27">
        <f t="shared" si="0"/>
        <v>0.2</v>
      </c>
      <c r="E49" s="27">
        <f t="shared" si="0"/>
        <v>0.3</v>
      </c>
      <c r="F49" s="27">
        <f t="shared" si="0"/>
        <v>0.4</v>
      </c>
      <c r="G49" s="27">
        <f t="shared" si="0"/>
        <v>0.5</v>
      </c>
      <c r="H49" s="27">
        <f t="shared" si="0"/>
        <v>0.6</v>
      </c>
      <c r="I49" s="27">
        <f t="shared" si="0"/>
        <v>0.7</v>
      </c>
      <c r="J49" s="27">
        <f t="shared" si="0"/>
        <v>0.8</v>
      </c>
      <c r="K49" s="27">
        <f t="shared" si="0"/>
        <v>0.9</v>
      </c>
      <c r="L49" s="27">
        <f t="shared" si="0"/>
        <v>1</v>
      </c>
    </row>
    <row r="50" spans="1:16" ht="25" customHeight="1" x14ac:dyDescent="0.35">
      <c r="A50" s="56"/>
      <c r="B50" s="6">
        <v>0.9</v>
      </c>
      <c r="C50" s="27">
        <f t="shared" si="0"/>
        <v>9.0000000000000011E-2</v>
      </c>
      <c r="D50" s="27">
        <f t="shared" si="0"/>
        <v>0.18000000000000002</v>
      </c>
      <c r="E50" s="27">
        <f t="shared" si="0"/>
        <v>0.27</v>
      </c>
      <c r="F50" s="27">
        <f t="shared" si="0"/>
        <v>0.36000000000000004</v>
      </c>
      <c r="G50" s="27">
        <f t="shared" si="0"/>
        <v>0.45</v>
      </c>
      <c r="H50" s="27">
        <f t="shared" si="0"/>
        <v>0.54</v>
      </c>
      <c r="I50" s="27">
        <f t="shared" si="0"/>
        <v>0.63</v>
      </c>
      <c r="J50" s="27">
        <f t="shared" si="0"/>
        <v>0.72000000000000008</v>
      </c>
      <c r="K50" s="27">
        <f t="shared" si="0"/>
        <v>0.81</v>
      </c>
      <c r="L50" s="27">
        <f t="shared" si="0"/>
        <v>0.9</v>
      </c>
      <c r="P50" s="10" t="s">
        <v>12</v>
      </c>
    </row>
    <row r="51" spans="1:16" ht="25" customHeight="1" x14ac:dyDescent="0.35">
      <c r="A51" s="56"/>
      <c r="B51" s="6">
        <v>0.8</v>
      </c>
      <c r="C51" s="27">
        <f t="shared" si="0"/>
        <v>8.0000000000000016E-2</v>
      </c>
      <c r="D51" s="27">
        <f t="shared" si="0"/>
        <v>0.16000000000000003</v>
      </c>
      <c r="E51" s="27">
        <f t="shared" si="0"/>
        <v>0.24</v>
      </c>
      <c r="F51" s="27">
        <f t="shared" si="0"/>
        <v>0.32000000000000006</v>
      </c>
      <c r="G51" s="27">
        <f>$B51*G$59</f>
        <v>0.4</v>
      </c>
      <c r="H51" s="27">
        <f t="shared" si="0"/>
        <v>0.48</v>
      </c>
      <c r="I51" s="27">
        <f t="shared" si="0"/>
        <v>0.55999999999999994</v>
      </c>
      <c r="J51" s="27">
        <f t="shared" si="0"/>
        <v>0.64000000000000012</v>
      </c>
      <c r="K51" s="27">
        <f t="shared" si="0"/>
        <v>0.72000000000000008</v>
      </c>
      <c r="L51" s="27">
        <f t="shared" si="0"/>
        <v>0.8</v>
      </c>
      <c r="N51" s="16"/>
      <c r="O51" s="10" t="s">
        <v>23</v>
      </c>
      <c r="P51" s="10" t="s">
        <v>31</v>
      </c>
    </row>
    <row r="52" spans="1:16" ht="24.65" customHeight="1" x14ac:dyDescent="0.35">
      <c r="A52" s="56"/>
      <c r="B52" s="6">
        <v>0.7</v>
      </c>
      <c r="C52" s="27">
        <f t="shared" si="0"/>
        <v>6.9999999999999993E-2</v>
      </c>
      <c r="D52" s="27">
        <f t="shared" si="0"/>
        <v>0.13999999999999999</v>
      </c>
      <c r="E52" s="27">
        <f t="shared" si="0"/>
        <v>0.21</v>
      </c>
      <c r="F52" s="27">
        <f t="shared" si="0"/>
        <v>0.27999999999999997</v>
      </c>
      <c r="G52" s="27">
        <f t="shared" si="0"/>
        <v>0.35</v>
      </c>
      <c r="H52" s="27">
        <f t="shared" si="0"/>
        <v>0.42</v>
      </c>
      <c r="I52" s="27">
        <f t="shared" si="0"/>
        <v>0.48999999999999994</v>
      </c>
      <c r="J52" s="27">
        <f t="shared" si="0"/>
        <v>0.55999999999999994</v>
      </c>
      <c r="K52" s="27">
        <f t="shared" si="0"/>
        <v>0.63</v>
      </c>
      <c r="L52" s="27">
        <f t="shared" si="0"/>
        <v>0.7</v>
      </c>
      <c r="N52" s="19"/>
      <c r="O52" s="10" t="s">
        <v>25</v>
      </c>
      <c r="P52" s="10" t="s">
        <v>32</v>
      </c>
    </row>
    <row r="53" spans="1:16" x14ac:dyDescent="0.35">
      <c r="A53" s="56"/>
      <c r="B53" s="6">
        <v>0.6</v>
      </c>
      <c r="C53" s="27">
        <f t="shared" si="0"/>
        <v>0.06</v>
      </c>
      <c r="D53" s="27">
        <f t="shared" si="0"/>
        <v>0.12</v>
      </c>
      <c r="E53" s="27">
        <f t="shared" si="0"/>
        <v>0.18</v>
      </c>
      <c r="F53" s="27">
        <f t="shared" si="0"/>
        <v>0.24</v>
      </c>
      <c r="G53" s="27">
        <f t="shared" si="0"/>
        <v>0.3</v>
      </c>
      <c r="H53" s="27">
        <f t="shared" si="0"/>
        <v>0.36</v>
      </c>
      <c r="I53" s="27">
        <f t="shared" si="0"/>
        <v>0.42</v>
      </c>
      <c r="J53" s="27">
        <f t="shared" si="0"/>
        <v>0.48</v>
      </c>
      <c r="K53" s="27">
        <f t="shared" si="0"/>
        <v>0.54</v>
      </c>
      <c r="L53" s="27">
        <f t="shared" si="0"/>
        <v>0.6</v>
      </c>
      <c r="N53" s="20"/>
      <c r="O53" s="10" t="s">
        <v>27</v>
      </c>
      <c r="P53" s="10" t="s">
        <v>33</v>
      </c>
    </row>
    <row r="54" spans="1:16" x14ac:dyDescent="0.35">
      <c r="A54" s="56"/>
      <c r="B54" s="6">
        <v>0.5</v>
      </c>
      <c r="C54" s="27">
        <f t="shared" si="0"/>
        <v>0.05</v>
      </c>
      <c r="D54" s="27">
        <f t="shared" si="0"/>
        <v>0.1</v>
      </c>
      <c r="E54" s="27">
        <f t="shared" si="0"/>
        <v>0.15</v>
      </c>
      <c r="F54" s="27">
        <f t="shared" si="0"/>
        <v>0.2</v>
      </c>
      <c r="G54" s="27">
        <f t="shared" si="0"/>
        <v>0.25</v>
      </c>
      <c r="H54" s="27">
        <f t="shared" si="0"/>
        <v>0.3</v>
      </c>
      <c r="I54" s="27">
        <f t="shared" si="0"/>
        <v>0.35</v>
      </c>
      <c r="J54" s="27">
        <f t="shared" si="0"/>
        <v>0.4</v>
      </c>
      <c r="K54" s="27">
        <f t="shared" si="0"/>
        <v>0.45</v>
      </c>
      <c r="L54" s="27">
        <f t="shared" si="0"/>
        <v>0.5</v>
      </c>
    </row>
    <row r="55" spans="1:16" x14ac:dyDescent="0.35">
      <c r="A55" s="56"/>
      <c r="B55" s="6">
        <v>0.4</v>
      </c>
      <c r="C55" s="27">
        <f t="shared" si="0"/>
        <v>4.0000000000000008E-2</v>
      </c>
      <c r="D55" s="27">
        <f t="shared" si="0"/>
        <v>8.0000000000000016E-2</v>
      </c>
      <c r="E55" s="27">
        <f t="shared" si="0"/>
        <v>0.12</v>
      </c>
      <c r="F55" s="27">
        <f t="shared" si="0"/>
        <v>0.16000000000000003</v>
      </c>
      <c r="G55" s="27">
        <f t="shared" si="0"/>
        <v>0.2</v>
      </c>
      <c r="H55" s="27">
        <f t="shared" si="0"/>
        <v>0.24</v>
      </c>
      <c r="I55" s="27">
        <f t="shared" si="0"/>
        <v>0.27999999999999997</v>
      </c>
      <c r="J55" s="27">
        <f t="shared" si="0"/>
        <v>0.32000000000000006</v>
      </c>
      <c r="K55" s="27">
        <f t="shared" si="0"/>
        <v>0.36000000000000004</v>
      </c>
      <c r="L55" s="27">
        <f t="shared" si="0"/>
        <v>0.4</v>
      </c>
    </row>
    <row r="56" spans="1:16" x14ac:dyDescent="0.35">
      <c r="A56" s="56"/>
      <c r="B56" s="6">
        <v>0.3</v>
      </c>
      <c r="C56" s="27">
        <f t="shared" si="0"/>
        <v>0.03</v>
      </c>
      <c r="D56" s="27">
        <f t="shared" si="0"/>
        <v>0.06</v>
      </c>
      <c r="E56" s="27">
        <f t="shared" si="0"/>
        <v>0.09</v>
      </c>
      <c r="F56" s="27">
        <f t="shared" si="0"/>
        <v>0.12</v>
      </c>
      <c r="G56" s="27">
        <f t="shared" si="0"/>
        <v>0.15</v>
      </c>
      <c r="H56" s="27">
        <f t="shared" si="0"/>
        <v>0.18</v>
      </c>
      <c r="I56" s="27">
        <f t="shared" si="0"/>
        <v>0.21</v>
      </c>
      <c r="J56" s="27">
        <f t="shared" si="0"/>
        <v>0.24</v>
      </c>
      <c r="K56" s="27">
        <f t="shared" si="0"/>
        <v>0.27</v>
      </c>
      <c r="L56" s="27">
        <f t="shared" si="0"/>
        <v>0.3</v>
      </c>
    </row>
    <row r="57" spans="1:16" x14ac:dyDescent="0.35">
      <c r="A57" s="56"/>
      <c r="B57" s="6">
        <v>0.2</v>
      </c>
      <c r="C57" s="27">
        <f t="shared" si="0"/>
        <v>2.0000000000000004E-2</v>
      </c>
      <c r="D57" s="27">
        <f t="shared" si="0"/>
        <v>4.0000000000000008E-2</v>
      </c>
      <c r="E57" s="27">
        <f t="shared" si="0"/>
        <v>0.06</v>
      </c>
      <c r="F57" s="27">
        <f t="shared" si="0"/>
        <v>8.0000000000000016E-2</v>
      </c>
      <c r="G57" s="27">
        <f t="shared" si="0"/>
        <v>0.1</v>
      </c>
      <c r="H57" s="27">
        <f t="shared" si="0"/>
        <v>0.12</v>
      </c>
      <c r="I57" s="27">
        <f t="shared" si="0"/>
        <v>0.13999999999999999</v>
      </c>
      <c r="J57" s="27">
        <f t="shared" si="0"/>
        <v>0.16000000000000003</v>
      </c>
      <c r="K57" s="27">
        <f t="shared" si="0"/>
        <v>0.18000000000000002</v>
      </c>
      <c r="L57" s="27">
        <f t="shared" si="0"/>
        <v>0.2</v>
      </c>
    </row>
    <row r="58" spans="1:16" x14ac:dyDescent="0.35">
      <c r="A58" s="56"/>
      <c r="B58" s="6">
        <v>0.1</v>
      </c>
      <c r="C58" s="27">
        <f t="shared" si="0"/>
        <v>1.0000000000000002E-2</v>
      </c>
      <c r="D58" s="27">
        <f t="shared" si="0"/>
        <v>2.0000000000000004E-2</v>
      </c>
      <c r="E58" s="27">
        <f t="shared" si="0"/>
        <v>0.03</v>
      </c>
      <c r="F58" s="27">
        <f t="shared" si="0"/>
        <v>4.0000000000000008E-2</v>
      </c>
      <c r="G58" s="27">
        <f t="shared" si="0"/>
        <v>0.05</v>
      </c>
      <c r="H58" s="27">
        <f t="shared" si="0"/>
        <v>0.06</v>
      </c>
      <c r="I58" s="27">
        <f t="shared" si="0"/>
        <v>6.9999999999999993E-2</v>
      </c>
      <c r="J58" s="27">
        <f t="shared" si="0"/>
        <v>8.0000000000000016E-2</v>
      </c>
      <c r="K58" s="27">
        <f t="shared" si="0"/>
        <v>9.0000000000000011E-2</v>
      </c>
      <c r="L58" s="27">
        <f t="shared" si="0"/>
        <v>0.1</v>
      </c>
    </row>
    <row r="59" spans="1:16" x14ac:dyDescent="0.35">
      <c r="B59" s="6">
        <v>0</v>
      </c>
      <c r="C59" s="6">
        <v>0.1</v>
      </c>
      <c r="D59" s="6">
        <v>0.2</v>
      </c>
      <c r="E59" s="6">
        <v>0.3</v>
      </c>
      <c r="F59" s="6">
        <v>0.4</v>
      </c>
      <c r="G59" s="6">
        <v>0.5</v>
      </c>
      <c r="H59" s="6">
        <v>0.6</v>
      </c>
      <c r="I59" s="6">
        <v>0.7</v>
      </c>
      <c r="J59" s="6">
        <v>0.8</v>
      </c>
      <c r="K59" s="6">
        <v>0.9</v>
      </c>
      <c r="L59" s="6">
        <v>1</v>
      </c>
    </row>
    <row r="60" spans="1:16" x14ac:dyDescent="0.35">
      <c r="E60" s="55" t="s">
        <v>10</v>
      </c>
      <c r="F60" s="55"/>
      <c r="G60" s="55"/>
      <c r="H60" s="55"/>
      <c r="I60" s="55"/>
    </row>
  </sheetData>
  <mergeCells count="6">
    <mergeCell ref="E60:I60"/>
    <mergeCell ref="A27:A31"/>
    <mergeCell ref="B32:F32"/>
    <mergeCell ref="A35:A44"/>
    <mergeCell ref="E46:I46"/>
    <mergeCell ref="A49:A58"/>
  </mergeCells>
  <conditionalFormatting sqref="C49:L58">
    <cfRule type="cellIs" dxfId="2" priority="6" operator="greaterThan">
      <formula>0.505</formula>
    </cfRule>
  </conditionalFormatting>
  <conditionalFormatting sqref="C49:L58">
    <cfRule type="cellIs" dxfId="1" priority="5" operator="between">
      <formula>0.14</formula>
      <formula>0.505</formula>
    </cfRule>
  </conditionalFormatting>
  <conditionalFormatting sqref="C49:L58">
    <cfRule type="cellIs" dxfId="0" priority="4" operator="lessThan">
      <formula>0.14</formula>
    </cfRule>
  </conditionalFormatting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Приветствие</vt:lpstr>
      <vt:lpstr>Таблица с рисками</vt:lpstr>
      <vt:lpstr>Карта рисков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inna</cp:lastModifiedBy>
  <cp:revision>1</cp:revision>
  <dcterms:created xsi:type="dcterms:W3CDTF">2015-06-05T18:19:34Z</dcterms:created>
  <dcterms:modified xsi:type="dcterms:W3CDTF">2026-07-21T06:36:00Z</dcterms:modified>
</cp:coreProperties>
</file>