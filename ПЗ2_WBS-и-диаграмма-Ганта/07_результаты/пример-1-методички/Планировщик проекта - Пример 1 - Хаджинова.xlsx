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70" windowHeight="5685" tabRatio="600" firstSheet="0" activeTab="3" autoFilterDateGrouping="1"/>
  </bookViews>
  <sheets>
    <sheet xmlns:r="http://schemas.openxmlformats.org/officeDocument/2006/relationships" name="Пример 1" sheetId="1" state="visible" r:id="rId1"/>
    <sheet xmlns:r="http://schemas.openxmlformats.org/officeDocument/2006/relationships" name="Пример 2" sheetId="2" state="visible" r:id="rId2"/>
    <sheet xmlns:r="http://schemas.openxmlformats.org/officeDocument/2006/relationships" name="ТАБЛИЦА ДАННЫХ" sheetId="3" state="visible" r:id="rId3"/>
    <sheet xmlns:r="http://schemas.openxmlformats.org/officeDocument/2006/relationships" name="Планировщик проекта" sheetId="4" state="visible" r:id="rId4"/>
  </sheets>
  <definedNames>
    <definedName name="выбранный_период">'Планировщик проекта'!$J$2</definedName>
    <definedName name="ОбластьЗаголовка..BO60">'Планировщик проекта'!$C$3:$C$4</definedName>
    <definedName name="ПериодПлан">'Планировщик проекта'!A$4=MEDIAN('Планировщик проекта'!A$4,'Планировщик проекта'!#REF!,'Планировщик проекта'!#REF!+'Планировщик проекта'!#REF!-1)</definedName>
    <definedName name="ПериодФакт">'Планировщик проекта'!A$4=MEDIAN('Планировщик проекта'!A$4,'Планировщик проекта'!$G1,'Планировщик проекта'!$G1+'Планировщик проекта'!$H1-1)</definedName>
    <definedName name="План">ПериодПлан*('Планировщик проекта'!#REF!&gt;0)</definedName>
    <definedName name="ПроцентВыполнения">ПроцентВыполненияВнеплан*ПериодПлан</definedName>
    <definedName name="ПроцентВыполненияВнеплан">('Планировщик проекта'!A$4=MEDIAN('Планировщик проекта'!A$4,'Планировщик проекта'!$G1,'Планировщик проекта'!$G1+'Планировщик проекта'!$H1)*('Планировщик проекта'!$G1&gt;0))*(('Планировщик проекта'!A$4&lt;(INT('Планировщик проекта'!$G1+'Планировщик проекта'!$H1*'Планировщик проекта'!$I1)))+('Планировщик проекта'!A$4='Планировщик проекта'!$G1))*('Планировщик проекта'!$I1&gt;0)</definedName>
    <definedName name="ФактВнеплан">ПериодФакт*('Планировщик проекта'!$G1&gt;0)</definedName>
    <definedName name="ФактическиеЗначения">(ПериодФакт*('Планировщик проекта'!$G1&gt;0))*ПериодПлан</definedName>
    <definedName name="_xlnm.Print_Titles" localSheetId="3">'Планировщик проекта'!$3:$4</definedName>
  </definedNames>
  <calcPr calcId="179021" fullCalcOnLoad="1"/>
</workbook>
</file>

<file path=xl/styles.xml><?xml version="1.0" encoding="utf-8"?>
<styleSheet xmlns="http://schemas.openxmlformats.org/spreadsheetml/2006/main">
  <numFmts count="2">
    <numFmt numFmtId="164" formatCode="_-* #,##0.00\ &quot;lei&quot;_-;\-* #,##0.00\ &quot;lei&quot;_-;_-* &quot;-&quot;??\ &quot;lei&quot;_-;_-@_-"/>
    <numFmt numFmtId="165" formatCode="_-* #,##0\ &quot;lei&quot;_-;\-* #,##0\ &quot;lei&quot;_-;_-* &quot;-&quot;\ &quot;lei&quot;_-;_-@_-"/>
  </numFmts>
  <fonts count="36">
    <font>
      <name val="Corbel"/>
      <family val="2"/>
      <color theme="1" tint="0.249946592608417"/>
      <sz val="11"/>
      <scheme val="major"/>
    </font>
    <font>
      <name val="Calibri"/>
      <family val="2"/>
      <color theme="1"/>
      <sz val="11"/>
      <scheme val="minor"/>
    </font>
    <font>
      <name val="Calibri"/>
      <family val="2"/>
      <color theme="1" tint="0.249946592608417"/>
      <sz val="14"/>
      <scheme val="minor"/>
    </font>
    <font>
      <name val="Corbel"/>
      <family val="2"/>
      <b val="1"/>
      <color theme="1" tint="0.249946592608417"/>
      <sz val="13"/>
      <scheme val="major"/>
    </font>
    <font>
      <name val="Corbel"/>
      <family val="2"/>
      <b val="1"/>
      <color theme="7"/>
      <sz val="13"/>
      <scheme val="major"/>
    </font>
    <font>
      <name val="Calibri"/>
      <charset val="204"/>
      <family val="2"/>
      <b val="1"/>
      <color theme="1" tint="0.249946592608417"/>
      <sz val="13"/>
    </font>
    <font>
      <name val="Calibri"/>
      <charset val="204"/>
      <family val="2"/>
      <color theme="1" tint="0.249946592608417"/>
      <sz val="12"/>
    </font>
    <font>
      <name val="Calibri"/>
      <charset val="204"/>
      <family val="2"/>
      <b val="1"/>
      <color theme="7"/>
      <sz val="13"/>
    </font>
    <font>
      <name val="Calibri"/>
      <family val="2"/>
      <color theme="1" tint="0.249946592608417"/>
      <sz val="12"/>
    </font>
    <font>
      <name val="Corbel"/>
      <family val="2"/>
      <b val="1"/>
      <color theme="7"/>
      <sz val="42"/>
      <scheme val="major"/>
    </font>
    <font>
      <name val="Calibri"/>
      <family val="2"/>
      <b val="1"/>
      <color theme="1" tint="0.249946592608417"/>
      <sz val="11"/>
      <scheme val="minor"/>
    </font>
    <font>
      <name val="Calibri"/>
      <family val="2"/>
      <b val="1"/>
      <color theme="1" tint="0.3499862666707358"/>
      <sz val="11"/>
      <scheme val="minor"/>
    </font>
    <font>
      <name val="Corbel"/>
      <family val="2"/>
      <color theme="1" tint="0.249946592608417"/>
      <sz val="11"/>
      <scheme val="major"/>
    </font>
    <font>
      <name val="Calibri"/>
      <family val="2"/>
      <i val="1"/>
      <color theme="7"/>
      <sz val="11"/>
      <scheme val="minor"/>
    </font>
    <font>
      <name val="Corbel"/>
      <family val="2"/>
      <color theme="1" tint="0.249946592608417"/>
      <sz val="12"/>
      <scheme val="maj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204"/>
      <family val="2"/>
      <color theme="1" tint="0.249946592608417"/>
      <sz val="12"/>
    </font>
    <font>
      <name val="Corbel"/>
      <family val="2"/>
      <color theme="1" tint="0.249946592608417"/>
      <sz val="16"/>
      <scheme val="major"/>
    </font>
    <font>
      <name val="Calibri"/>
      <charset val="204"/>
      <family val="2"/>
      <color rgb="FFFF0000"/>
      <sz val="12"/>
    </font>
    <font>
      <name val="Segoe UI"/>
      <charset val="204"/>
      <family val="2"/>
      <color rgb="FF0F1115"/>
      <sz val="11"/>
    </font>
    <font>
      <name val="Segoe UI"/>
      <charset val="204"/>
      <family val="2"/>
      <color rgb="FF0F1115"/>
      <sz val="11"/>
    </font>
    <font>
      <name val="Segoe UI"/>
      <charset val="204"/>
      <family val="2"/>
      <color rgb="FF0F1115"/>
      <sz val="12"/>
    </font>
    <font>
      <name val="Segoe UI"/>
      <charset val="204"/>
      <family val="2"/>
      <color rgb="FF0F1115"/>
      <sz val="12"/>
    </font>
    <font>
      <name val="Segoe UI"/>
      <charset val="204"/>
      <family val="2"/>
      <color rgb="FF0F1115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000000"/>
      <sz val="12"/>
    </font>
  </fonts>
  <fills count="41">
    <fill>
      <patternFill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9" tint="-0.249946592608417"/>
      </top>
      <bottom style="thin">
        <color theme="9" tint="-0.249946592608417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59">
    <xf numFmtId="0" fontId="12" fillId="0" borderId="0" applyAlignment="1">
      <alignment horizontal="center" vertical="center"/>
    </xf>
    <xf numFmtId="0" fontId="9" fillId="0" borderId="0"/>
    <xf numFmtId="0" fontId="3" fillId="0" borderId="0" applyAlignment="1">
      <alignment horizontal="left" wrapText="1"/>
    </xf>
    <xf numFmtId="3" fontId="11" fillId="0" borderId="2" applyAlignment="1">
      <alignment horizontal="center"/>
    </xf>
    <xf numFmtId="0" fontId="11" fillId="0" borderId="0" applyAlignment="1">
      <alignment horizontal="center" wrapText="1"/>
    </xf>
    <xf numFmtId="0" fontId="2" fillId="0" borderId="0" applyAlignment="1">
      <alignment horizontal="left" vertical="center"/>
    </xf>
    <xf numFmtId="9" fontId="4" fillId="0" borderId="0" applyAlignment="1">
      <alignment horizontal="center" vertical="center"/>
    </xf>
    <xf numFmtId="0" fontId="10" fillId="6" borderId="1" applyAlignment="1">
      <alignment horizontal="left" vertical="center"/>
    </xf>
    <xf numFmtId="0" fontId="9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horizontal="center" vertical="center" wrapText="1"/>
    </xf>
    <xf numFmtId="0" fontId="11" fillId="0" borderId="0" applyAlignment="1">
      <alignment horizontal="left"/>
    </xf>
    <xf numFmtId="0" fontId="13" fillId="0" borderId="0" applyAlignment="1">
      <alignment vertical="center"/>
    </xf>
    <xf numFmtId="1" fontId="14" fillId="6" borderId="1" applyAlignment="1">
      <alignment horizontal="center" vertical="center"/>
    </xf>
    <xf numFmtId="0" fontId="12" fillId="2" borderId="4" applyAlignment="1">
      <alignment horizontal="center"/>
    </xf>
    <xf numFmtId="0" fontId="12" fillId="3" borderId="3" applyAlignment="1">
      <alignment horizontal="center"/>
    </xf>
    <xf numFmtId="0" fontId="12" fillId="4" borderId="3" applyAlignment="1">
      <alignment horizontal="center"/>
    </xf>
    <xf numFmtId="0" fontId="12" fillId="5" borderId="3" applyAlignment="1">
      <alignment horizontal="center"/>
    </xf>
    <xf numFmtId="0" fontId="12" fillId="7" borderId="3" applyAlignment="1">
      <alignment horizontal="center"/>
    </xf>
    <xf numFmtId="43" fontId="12" fillId="0" borderId="0"/>
    <xf numFmtId="41" fontId="12" fillId="0" borderId="0"/>
    <xf numFmtId="164" fontId="12" fillId="0" borderId="0"/>
    <xf numFmtId="165" fontId="12" fillId="0" borderId="0"/>
    <xf numFmtId="9" fontId="12" fillId="0" borderId="0"/>
    <xf numFmtId="0" fontId="15" fillId="8" borderId="0"/>
    <xf numFmtId="0" fontId="16" fillId="9" borderId="0"/>
    <xf numFmtId="0" fontId="17" fillId="10" borderId="0"/>
    <xf numFmtId="0" fontId="18" fillId="11" borderId="8"/>
    <xf numFmtId="0" fontId="19" fillId="12" borderId="9"/>
    <xf numFmtId="0" fontId="20" fillId="12" borderId="8"/>
    <xf numFmtId="0" fontId="21" fillId="0" borderId="10"/>
    <xf numFmtId="0" fontId="22" fillId="13" borderId="11"/>
    <xf numFmtId="0" fontId="23" fillId="0" borderId="0"/>
    <xf numFmtId="0" fontId="12" fillId="14" borderId="12"/>
    <xf numFmtId="0" fontId="24" fillId="0" borderId="13"/>
    <xf numFmtId="0" fontId="25" fillId="15" borderId="0"/>
    <xf numFmtId="0" fontId="1" fillId="16" borderId="0"/>
    <xf numFmtId="0" fontId="1" fillId="17" borderId="0"/>
    <xf numFmtId="0" fontId="1" fillId="18" borderId="0"/>
    <xf numFmtId="0" fontId="25" fillId="19" borderId="0"/>
    <xf numFmtId="0" fontId="1" fillId="20" borderId="0"/>
    <xf numFmtId="0" fontId="1" fillId="21" borderId="0"/>
    <xf numFmtId="0" fontId="1" fillId="22" borderId="0"/>
    <xf numFmtId="0" fontId="25" fillId="23" borderId="0"/>
    <xf numFmtId="0" fontId="1" fillId="24" borderId="0"/>
    <xf numFmtId="0" fontId="1" fillId="25" borderId="0"/>
    <xf numFmtId="0" fontId="1" fillId="26" borderId="0"/>
    <xf numFmtId="0" fontId="25" fillId="27" borderId="0"/>
    <xf numFmtId="0" fontId="1" fillId="28" borderId="0"/>
    <xf numFmtId="0" fontId="1" fillId="29" borderId="0"/>
    <xf numFmtId="0" fontId="1" fillId="30" borderId="0"/>
    <xf numFmtId="0" fontId="25" fillId="31" borderId="0"/>
    <xf numFmtId="0" fontId="1" fillId="32" borderId="0"/>
    <xf numFmtId="0" fontId="1" fillId="33" borderId="0"/>
    <xf numFmtId="0" fontId="1" fillId="34" borderId="0"/>
    <xf numFmtId="0" fontId="25" fillId="35" borderId="0"/>
    <xf numFmtId="0" fontId="1" fillId="36" borderId="0"/>
    <xf numFmtId="0" fontId="1" fillId="37" borderId="0"/>
    <xf numFmtId="0" fontId="1" fillId="38" borderId="0"/>
  </cellStyleXfs>
  <cellXfs count="91"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11" fillId="0" borderId="2" applyAlignment="1" pivotButton="0" quotePrefix="0" xfId="3">
      <alignment horizontal="center"/>
    </xf>
    <xf numFmtId="9" fontId="7" fillId="0" borderId="0" applyAlignment="1" pivotButton="0" quotePrefix="0" xfId="6">
      <alignment horizontal="center" vertical="center"/>
    </xf>
    <xf numFmtId="0" fontId="11" fillId="0" borderId="0" applyAlignment="1" pivotButton="0" quotePrefix="0" xfId="4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1">
      <alignment horizontal="center"/>
    </xf>
    <xf numFmtId="0" fontId="9" fillId="0" borderId="0" applyAlignment="1" pivotButton="0" quotePrefix="0" xfId="8">
      <alignment vertical="center"/>
    </xf>
    <xf numFmtId="1" fontId="14" fillId="6" borderId="1" applyAlignment="1" pivotButton="0" quotePrefix="0" xfId="13">
      <alignment horizontal="center" vertical="center"/>
    </xf>
    <xf numFmtId="0" fontId="0" fillId="2" borderId="4" applyAlignment="1" pivotButton="0" quotePrefix="0" xfId="14">
      <alignment horizontal="center"/>
    </xf>
    <xf numFmtId="0" fontId="0" fillId="3" borderId="3" applyAlignment="1" pivotButton="0" quotePrefix="0" xfId="15">
      <alignment horizontal="center"/>
    </xf>
    <xf numFmtId="0" fontId="0" fillId="4" borderId="3" applyAlignment="1" pivotButton="0" quotePrefix="0" xfId="16">
      <alignment horizontal="center"/>
    </xf>
    <xf numFmtId="0" fontId="0" fillId="5" borderId="3" applyAlignment="1" pivotButton="0" quotePrefix="0" xfId="17">
      <alignment horizontal="center"/>
    </xf>
    <xf numFmtId="0" fontId="0" fillId="7" borderId="3" applyAlignment="1" pivotButton="0" quotePrefix="0" xfId="18">
      <alignment horizontal="center"/>
    </xf>
    <xf numFmtId="0" fontId="11" fillId="0" borderId="0" applyAlignment="1" pivotButton="0" quotePrefix="0" xfId="11">
      <alignment horizontal="left"/>
    </xf>
    <xf numFmtId="0" fontId="5" fillId="0" borderId="0" applyAlignment="1" pivotButton="0" quotePrefix="0" xfId="2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9">
      <alignment vertical="center"/>
    </xf>
    <xf numFmtId="0" fontId="11" fillId="0" borderId="0" applyAlignment="1" pivotButton="0" quotePrefix="0" xfId="10">
      <alignment horizontal="center" vertical="center" wrapText="1"/>
    </xf>
    <xf numFmtId="0" fontId="11" fillId="0" borderId="5" applyAlignment="1" pivotButton="0" quotePrefix="0" xfId="10">
      <alignment horizontal="center" vertical="center" wrapText="1"/>
    </xf>
    <xf numFmtId="0" fontId="27" fillId="0" borderId="0" applyAlignment="1" pivotButton="0" quotePrefix="0" xfId="0">
      <alignment vertical="center" wrapText="1"/>
    </xf>
    <xf numFmtId="0" fontId="6" fillId="0" borderId="14" applyAlignment="1" pivotButton="0" quotePrefix="0" xfId="10">
      <alignment horizontal="center" vertical="center"/>
    </xf>
    <xf numFmtId="0" fontId="11" fillId="0" borderId="0" applyAlignment="1" pivotButton="0" quotePrefix="0" xfId="10">
      <alignment horizontal="center" vertical="center" wrapText="1"/>
    </xf>
    <xf numFmtId="0" fontId="6" fillId="0" borderId="15" applyAlignment="1" pivotButton="0" quotePrefix="0" xfId="1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1" fillId="0" borderId="0" applyAlignment="1" pivotButton="0" quotePrefix="0" xfId="9">
      <alignment vertical="center"/>
    </xf>
    <xf numFmtId="0" fontId="27" fillId="0" borderId="15" applyAlignment="1" pivotButton="0" quotePrefix="0" xfId="0">
      <alignment horizontal="center" vertical="center"/>
    </xf>
    <xf numFmtId="0" fontId="5" fillId="0" borderId="15" applyAlignment="1" pivotButton="0" quotePrefix="0" xfId="2">
      <alignment horizontal="left" vertical="center" wrapText="1"/>
    </xf>
    <xf numFmtId="0" fontId="6" fillId="0" borderId="15" applyAlignment="1" pivotButton="0" quotePrefix="0" xfId="0">
      <alignment horizontal="center" vertical="center"/>
    </xf>
    <xf numFmtId="9" fontId="7" fillId="0" borderId="15" applyAlignment="1" pivotButton="0" quotePrefix="0" xfId="6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5" fillId="0" borderId="16" applyAlignment="1" pivotButton="0" quotePrefix="0" xfId="2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10" fillId="6" borderId="5" applyAlignment="1" pivotButton="0" quotePrefix="0" xfId="7">
      <alignment horizontal="left" vertical="center"/>
    </xf>
    <xf numFmtId="0" fontId="11" fillId="0" borderId="19" applyAlignment="1" pivotButton="0" quotePrefix="0" xfId="9">
      <alignment vertical="center" wrapText="1"/>
    </xf>
    <xf numFmtId="0" fontId="11" fillId="0" borderId="19" applyAlignment="1" pivotButton="0" quotePrefix="0" xfId="9">
      <alignment horizontal="center" vertical="center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11" fillId="0" borderId="22" applyAlignment="1" pivotButton="0" quotePrefix="0" xfId="9">
      <alignment vertical="center"/>
    </xf>
    <xf numFmtId="0" fontId="14" fillId="0" borderId="15" applyAlignment="1" pivotButton="0" quotePrefix="0" xfId="0">
      <alignment horizontal="center" vertical="center"/>
    </xf>
    <xf numFmtId="3" fontId="5" fillId="0" borderId="15" applyAlignment="1" pivotButton="0" quotePrefix="0" xfId="2">
      <alignment horizontal="left" vertical="center" wrapText="1"/>
    </xf>
    <xf numFmtId="0" fontId="6" fillId="39" borderId="15" applyAlignment="1" pivotButton="0" quotePrefix="0" xfId="0">
      <alignment horizontal="center" vertical="center"/>
    </xf>
    <xf numFmtId="3" fontId="7" fillId="39" borderId="15" applyAlignment="1" pivotButton="0" quotePrefix="0" xfId="19">
      <alignment horizontal="center" vertical="center"/>
    </xf>
    <xf numFmtId="9" fontId="6" fillId="39" borderId="15" applyAlignment="1" pivotButton="0" quotePrefix="0" xfId="6">
      <alignment horizontal="center" vertical="center"/>
    </xf>
    <xf numFmtId="0" fontId="28" fillId="39" borderId="15" applyAlignment="1" pivotButton="0" quotePrefix="0" xfId="0">
      <alignment horizontal="center" vertical="center"/>
    </xf>
    <xf numFmtId="0" fontId="30" fillId="40" borderId="15" applyAlignment="1" pivotButton="0" quotePrefix="0" xfId="0">
      <alignment horizontal="left" vertical="center" wrapText="1" indent="1"/>
    </xf>
    <xf numFmtId="0" fontId="29" fillId="40" borderId="23" applyAlignment="1" pivotButton="0" quotePrefix="0" xfId="0">
      <alignment horizontal="left" vertical="center" wrapText="1" indent="1"/>
    </xf>
    <xf numFmtId="0" fontId="29" fillId="40" borderId="24" applyAlignment="1" pivotButton="0" quotePrefix="0" xfId="0">
      <alignment horizontal="left" vertical="center" wrapText="1" indent="1"/>
    </xf>
    <xf numFmtId="0" fontId="29" fillId="40" borderId="25" applyAlignment="1" pivotButton="0" quotePrefix="0" xfId="0">
      <alignment horizontal="left" vertical="center" wrapText="1" indent="1"/>
    </xf>
    <xf numFmtId="0" fontId="30" fillId="40" borderId="26" applyAlignment="1" pivotButton="0" quotePrefix="0" xfId="0">
      <alignment horizontal="left" vertical="center" wrapText="1" indent="1"/>
    </xf>
    <xf numFmtId="0" fontId="30" fillId="40" borderId="27" applyAlignment="1" pivotButton="0" quotePrefix="0" xfId="0">
      <alignment horizontal="left" vertical="center" wrapText="1" indent="1"/>
    </xf>
    <xf numFmtId="0" fontId="30" fillId="40" borderId="28" applyAlignment="1" pivotButton="0" quotePrefix="0" xfId="0">
      <alignment horizontal="left" vertical="center" wrapText="1" indent="1"/>
    </xf>
    <xf numFmtId="0" fontId="30" fillId="40" borderId="29" applyAlignment="1" pivotButton="0" quotePrefix="0" xfId="0">
      <alignment horizontal="left" vertical="center" wrapText="1" indent="1"/>
    </xf>
    <xf numFmtId="0" fontId="30" fillId="40" borderId="30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center" vertical="center"/>
    </xf>
    <xf numFmtId="0" fontId="26" fillId="0" borderId="6" applyAlignment="1" pivotButton="0" quotePrefix="0" xfId="5">
      <alignment horizontal="left" vertical="center"/>
    </xf>
    <xf numFmtId="0" fontId="26" fillId="0" borderId="0" applyAlignment="1" pivotButton="0" quotePrefix="0" xfId="5">
      <alignment horizontal="left" vertical="center"/>
    </xf>
    <xf numFmtId="0" fontId="13" fillId="0" borderId="0" applyAlignment="1" pivotButton="0" quotePrefix="0" xfId="12">
      <alignment vertical="center"/>
    </xf>
    <xf numFmtId="0" fontId="11" fillId="0" borderId="19" applyAlignment="1" pivotButton="0" quotePrefix="0" xfId="9">
      <alignment vertical="center"/>
    </xf>
    <xf numFmtId="0" fontId="11" fillId="0" borderId="22" applyAlignment="1" pivotButton="0" quotePrefix="0" xfId="9">
      <alignment vertical="center"/>
    </xf>
    <xf numFmtId="0" fontId="11" fillId="0" borderId="19" applyAlignment="1" pivotButton="0" quotePrefix="0" xfId="10">
      <alignment horizontal="center" vertical="center" wrapText="1"/>
    </xf>
    <xf numFmtId="0" fontId="11" fillId="0" borderId="22" applyAlignment="1" pivotButton="0" quotePrefix="0" xfId="10">
      <alignment horizontal="center" vertical="center" wrapText="1"/>
    </xf>
    <xf numFmtId="0" fontId="11" fillId="0" borderId="18" applyAlignment="1" pivotButton="0" quotePrefix="0" xfId="10">
      <alignment horizontal="center" vertical="center" wrapText="1"/>
    </xf>
    <xf numFmtId="0" fontId="11" fillId="0" borderId="21" applyAlignment="1" pivotButton="0" quotePrefix="0" xfId="10">
      <alignment horizontal="center" vertical="center" wrapText="1"/>
    </xf>
    <xf numFmtId="0" fontId="8" fillId="0" borderId="6" applyAlignment="1" pivotButton="0" quotePrefix="0" xfId="5">
      <alignment horizontal="left" vertical="center"/>
    </xf>
    <xf numFmtId="0" fontId="8" fillId="0" borderId="0" applyAlignment="1" pivotButton="0" quotePrefix="0" xfId="5">
      <alignment horizontal="left" vertical="center"/>
    </xf>
    <xf numFmtId="0" fontId="8" fillId="0" borderId="7" applyAlignment="1" pivotButton="0" quotePrefix="0" xfId="5">
      <alignment horizontal="left" vertical="center"/>
    </xf>
    <xf numFmtId="0" fontId="8" fillId="0" borderId="0" applyAlignment="1" pivotButton="0" quotePrefix="0" xfId="5">
      <alignment horizontal="left" vertical="center"/>
    </xf>
    <xf numFmtId="0" fontId="26" fillId="0" borderId="7" applyAlignment="1" pivotButton="0" quotePrefix="0" xfId="5">
      <alignment horizontal="left" vertical="center"/>
    </xf>
    <xf numFmtId="0" fontId="26" fillId="0" borderId="6" applyAlignment="1" pivotButton="0" quotePrefix="0" xfId="5">
      <alignment horizontal="left" vertical="center"/>
    </xf>
    <xf numFmtId="0" fontId="26" fillId="0" borderId="0" applyAlignment="1" pivotButton="0" quotePrefix="0" xfId="5">
      <alignment horizontal="left" vertical="center"/>
    </xf>
    <xf numFmtId="0" fontId="26" fillId="0" borderId="7" applyAlignment="1" pivotButton="0" quotePrefix="0" xfId="5">
      <alignment horizontal="left" vertical="center"/>
    </xf>
    <xf numFmtId="0" fontId="33" fillId="40" borderId="15" applyAlignment="1" pivotButton="0" quotePrefix="0" xfId="0">
      <alignment horizontal="left" vertical="center" wrapText="1" indent="1"/>
    </xf>
    <xf numFmtId="0" fontId="29" fillId="40" borderId="15" applyAlignment="1" pivotButton="0" quotePrefix="0" xfId="0">
      <alignment horizontal="left" vertical="center" wrapText="1" indent="1"/>
    </xf>
    <xf numFmtId="0" fontId="0" fillId="0" borderId="15" applyAlignment="1" pivotButton="0" quotePrefix="0" xfId="0">
      <alignment horizontal="center" vertical="center"/>
    </xf>
    <xf numFmtId="0" fontId="29" fillId="40" borderId="15" applyAlignment="1" pivotButton="0" quotePrefix="0" xfId="0">
      <alignment horizontal="right" vertical="center" wrapText="1" indent="1"/>
    </xf>
    <xf numFmtId="0" fontId="34" fillId="0" borderId="31" applyAlignment="1" pivotButton="0" quotePrefix="0" xfId="0">
      <alignment horizontal="center" vertical="center" wrapText="1" readingOrder="1"/>
    </xf>
    <xf numFmtId="0" fontId="35" fillId="0" borderId="31" applyAlignment="1" pivotButton="0" quotePrefix="0" xfId="0">
      <alignment horizontal="center" vertical="center" wrapText="1" readingOrder="1"/>
    </xf>
    <xf numFmtId="0" fontId="0" fillId="0" borderId="0" pivotButton="0" quotePrefix="0" xfId="0"/>
    <xf numFmtId="0" fontId="8" fillId="0" borderId="32" applyAlignment="1" pivotButton="0" quotePrefix="0" xfId="5">
      <alignment horizontal="left" vertical="center"/>
    </xf>
    <xf numFmtId="0" fontId="0" fillId="0" borderId="7" pivotButton="0" quotePrefix="0" xfId="0"/>
    <xf numFmtId="0" fontId="26" fillId="0" borderId="32" applyAlignment="1" pivotButton="0" quotePrefix="0" xfId="5">
      <alignment horizontal="left" vertical="center"/>
    </xf>
    <xf numFmtId="0" fontId="0" fillId="0" borderId="22" pivotButton="0" quotePrefix="0" xfId="0"/>
    <xf numFmtId="0" fontId="0" fillId="0" borderId="21" pivotButton="0" quotePrefix="0" xfId="0"/>
  </cellXfs>
  <cellStyles count="59">
    <cellStyle name="Обычный" xfId="0" builtinId="0"/>
    <cellStyle name="Заголовок 1" xfId="1" builtinId="16"/>
    <cellStyle name="Действие" xfId="2"/>
    <cellStyle name="Заголовки периодов" xfId="3"/>
    <cellStyle name="Заголовки проекта" xfId="4"/>
    <cellStyle name="Метка" xfId="5"/>
    <cellStyle name="Процент выполнения" xfId="6"/>
    <cellStyle name="Управление выделением периода" xfId="7"/>
    <cellStyle name="Название" xfId="8" builtinId="15"/>
    <cellStyle name="Заголовок 2" xfId="9" builtinId="17"/>
    <cellStyle name="Заголовок 3" xfId="10" builtinId="18"/>
    <cellStyle name="Заголовок 4" xfId="11" builtinId="19"/>
    <cellStyle name="Пояснение" xfId="12" builtinId="53"/>
    <cellStyle name="Значение периода" xfId="13"/>
    <cellStyle name="Условное обозначение плана" xfId="14"/>
    <cellStyle name="Условные обозначения для фактических значений" xfId="15"/>
    <cellStyle name="% выполнения" xfId="16"/>
    <cellStyle name="Условное обозначение для действия (внепланового)" xfId="17"/>
    <cellStyle name="Условное обозначение для % выполнения (внепланового)" xfId="18"/>
    <cellStyle name="Финансовый" xfId="19" builtinId="3"/>
    <cellStyle name="Финансовый [0]" xfId="20" builtinId="6"/>
    <cellStyle name="Денежный" xfId="21" builtinId="4"/>
    <cellStyle name="Денежный [0]" xfId="22" builtinId="7"/>
    <cellStyle name="Процентный" xfId="23" builtinId="5"/>
    <cellStyle name="Хороший" xfId="24" builtinId="26"/>
    <cellStyle name="Плохой" xfId="25" builtinId="27"/>
    <cellStyle name="Нейтральный" xfId="26" builtinId="28"/>
    <cellStyle name="Ввод " xfId="27" builtinId="20"/>
    <cellStyle name="Вывод" xfId="28" builtinId="21"/>
    <cellStyle name="Вычисление" xfId="29" builtinId="22"/>
    <cellStyle name="Связанная ячейка" xfId="30" builtinId="24"/>
    <cellStyle name="Контрольная ячейка" xfId="31" builtinId="23"/>
    <cellStyle name="Текст предупреждения" xfId="32" builtinId="11"/>
    <cellStyle name="Примечание" xfId="33" builtinId="10"/>
    <cellStyle name="Итог" xfId="34" builtinId="25"/>
    <cellStyle name="Акцент1" xfId="35" builtinId="29"/>
    <cellStyle name="20% — акцент1" xfId="36" builtinId="30"/>
    <cellStyle name="40% — акцент1" xfId="37" builtinId="31"/>
    <cellStyle name="60% — акцент1" xfId="38" builtinId="32"/>
    <cellStyle name="Акцент2" xfId="39" builtinId="33"/>
    <cellStyle name="20% — акцент2" xfId="40" builtinId="34"/>
    <cellStyle name="40% — акцент2" xfId="41" builtinId="35"/>
    <cellStyle name="60% — акцент2" xfId="42" builtinId="36"/>
    <cellStyle name="Акцент3" xfId="43" builtinId="37"/>
    <cellStyle name="20% — акцент3" xfId="44" builtinId="38"/>
    <cellStyle name="40% — акцент3" xfId="45" builtinId="39"/>
    <cellStyle name="60% — акцент3" xfId="46" builtinId="40"/>
    <cellStyle name="Акцент4" xfId="47" builtinId="41"/>
    <cellStyle name="20% — акцент4" xfId="48" builtinId="42"/>
    <cellStyle name="40% — акцент4" xfId="49" builtinId="43"/>
    <cellStyle name="60% — акцент4" xfId="50" builtinId="44"/>
    <cellStyle name="Акцент5" xfId="51" builtinId="45"/>
    <cellStyle name="20% — акцент5" xfId="52" builtinId="46"/>
    <cellStyle name="40% — акцент5" xfId="53" builtinId="47"/>
    <cellStyle name="60% — акцент5" xfId="54" builtinId="48"/>
    <cellStyle name="Акцент6" xfId="55" builtinId="49"/>
    <cellStyle name="20% — акцент6" xfId="56" builtinId="50"/>
    <cellStyle name="40% — акцент6" xfId="57" builtinId="51"/>
    <cellStyle name="60% — акцент6" xfId="58" builtinId="52"/>
  </cellStyles>
  <dxfs count="23"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9" tint="0.5999633777886288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7"/>
        <extend val="0"/>
        <sz val="13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1" tint="0.249946592608417"/>
        <extend val="0"/>
        <sz val="13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bel"/>
        <family val="2"/>
        <strike val="0"/>
        <outline val="0"/>
        <shadow val="0"/>
        <condense val="0"/>
        <color theme="1" tint="0.249946592608417"/>
        <extend val="0"/>
        <sz val="16"/>
        <vertAlign val="baseline"/>
        <scheme val="maj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Таблица1" displayName="Таблица1" ref="B4:L28" headerRowCount="1" totalsRowShown="0" dataDxfId="22" tableBorderDxfId="21" headerRowCellStyle="Заголовок 3">
  <tableColumns count="11">
    <tableColumn id="1" name="Столбец1" dataDxfId="20"/>
    <tableColumn id="2" name="Столбец2" dataDxfId="19" dataCellStyle="Действие"/>
    <tableColumn id="11" name="Столбец3" dataDxfId="18" dataCellStyle="Действие"/>
    <tableColumn id="12" name="Столбец32" dataDxfId="17"/>
    <tableColumn id="3" name="Столбец4" dataDxfId="16"/>
    <tableColumn id="4" name="Столбец5" dataDxfId="15"/>
    <tableColumn id="5" name="Столбец6" dataDxfId="14">
      <calculatedColumnFormula>F5+G5</calculatedColumnFormula>
    </tableColumn>
    <tableColumn id="8" name="Столбец7" dataDxfId="13"/>
    <tableColumn id="9" name="Столбец8" dataDxfId="12"/>
    <tableColumn id="7" name="Столбец9" dataDxfId="11" dataCellStyle="Процент выполнения"/>
    <tableColumn id="10" name="Столбец10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opLeftCell="A13" workbookViewId="0">
      <selection activeCell="G39" sqref="G39"/>
    </sheetView>
  </sheetViews>
  <sheetFormatPr baseColWidth="8" defaultRowHeight="15"/>
  <cols>
    <col width="57.875" customWidth="1" style="85" min="4" max="4"/>
    <col width="57.625" customWidth="1" style="85" min="7" max="7"/>
  </cols>
  <sheetData>
    <row r="1" ht="17.25" customHeight="1" s="85">
      <c r="A1" s="19" t="inlineStr">
        <is>
          <t>ИИ</t>
        </is>
      </c>
      <c r="D1" s="61" t="inlineStr">
        <is>
          <t xml:space="preserve"> Проект «Обучение сотрудников кибербезопасности»</t>
        </is>
      </c>
    </row>
    <row r="2" ht="17.25" customHeight="1" s="85">
      <c r="D2" s="59" t="inlineStr">
        <is>
          <t>ЭТАП 1. ПОДГОТОВКА (3 работы)</t>
        </is>
      </c>
    </row>
    <row r="3" ht="34.5" customHeight="1" s="85">
      <c r="D3" s="60" t="inlineStr">
        <is>
          <t>1. Разработка и утверждение устава проекта, проведение стартового совещания.</t>
        </is>
      </c>
    </row>
    <row r="4" ht="34.5" customHeight="1" s="85">
      <c r="D4" s="60" t="inlineStr">
        <is>
          <t>2. Анализ существующих регламентов информационной безопасности.</t>
        </is>
      </c>
    </row>
    <row r="5" ht="34.5" customHeight="1" s="85">
      <c r="D5" s="60" t="inlineStr">
        <is>
          <t>3. Проведение скрытой фишинг-атаки (замер «нулевого» уровня) и формирование отчета об уязвимостях.</t>
        </is>
      </c>
    </row>
    <row r="6" ht="17.25" customHeight="1" s="85">
      <c r="D6" s="59" t="inlineStr">
        <is>
          <t>ЭТАП 2. НАСТРОЙКА ПЛАТФОРМЫ (3 работы)</t>
        </is>
      </c>
    </row>
    <row r="7" ht="34.5" customHeight="1" s="85">
      <c r="D7" s="60" t="inlineStr">
        <is>
          <t>4. Анализ рынка, выбор вендора и заключение договора с оплатой лицензии.</t>
        </is>
      </c>
    </row>
    <row r="8" ht="17.25" customHeight="1" s="85">
      <c r="D8" s="60" t="inlineStr">
        <is>
          <t>5. Создание учетных записей для 200 сотрудников.</t>
        </is>
      </c>
    </row>
    <row r="9" ht="34.5" customHeight="1" s="85">
      <c r="D9" s="60" t="inlineStr">
        <is>
          <t>6. Настройка интеграции с почтовым сервером (white-list IP-адресов).</t>
        </is>
      </c>
    </row>
    <row r="10" ht="17.25" customHeight="1" s="85">
      <c r="D10" s="59" t="inlineStr">
        <is>
          <t>ЭТАП 3. РАЗРАБОТКА КОНТЕНТА И ОБУЧЕНИЕ (4 работы)</t>
        </is>
      </c>
    </row>
    <row r="11" ht="34.5" customHeight="1" s="85">
      <c r="D11" s="60" t="inlineStr">
        <is>
          <t>7. Подготовка курса по Закону РБ № 99-З «О персональных данных».</t>
        </is>
      </c>
    </row>
    <row r="12" ht="51.75" customHeight="1" s="85">
      <c r="D12" s="60" t="inlineStr">
        <is>
          <t>8. Разработка интерактивных модулей по фишингу, социальной инженерии, создание видеолекций и базы тестов.</t>
        </is>
      </c>
    </row>
    <row r="13" ht="17.25" customHeight="1" s="85">
      <c r="D13" s="60" t="inlineStr">
        <is>
          <t>9. Информирование сотрудников о старте программы.</t>
        </is>
      </c>
    </row>
    <row r="14" ht="34.5" customHeight="1" s="85">
      <c r="D14" s="60" t="inlineStr">
        <is>
          <t>10. Проведение активной фазы микрообучения (4 недели) и семинаров для отстающих.</t>
        </is>
      </c>
    </row>
    <row r="15" ht="17.25" customHeight="1" s="85">
      <c r="D15" s="59" t="inlineStr">
        <is>
          <t>ЭТАП 4. КОНТРОЛЬ И ВНЕДРЕНИЕ (2 работы)</t>
        </is>
      </c>
    </row>
    <row r="16" ht="34.5" customHeight="1" s="85">
      <c r="D16" s="60" t="inlineStr">
        <is>
          <t>11. Проведение итоговой контрольной фишинг-атаки и финального тестирования.</t>
        </is>
      </c>
    </row>
    <row r="17" ht="51.75" customHeight="1" s="85">
      <c r="D17" s="60" t="inlineStr">
        <is>
          <t>12. Анализ достижения KPI, подготовка отчета для директора и утверждение регламента регулярного обучения.</t>
        </is>
      </c>
    </row>
    <row r="21" ht="15.75" customHeight="1" s="85" thickBot="1"/>
    <row r="22" ht="66" customHeight="1" s="85">
      <c r="C22" s="51" t="inlineStr">
        <is>
          <t>№</t>
        </is>
      </c>
      <c r="D22" s="52" t="inlineStr">
        <is>
          <t>Содержание работы</t>
        </is>
      </c>
      <c r="E22" s="52" t="inlineStr">
        <is>
          <t>Предшествен- ники</t>
        </is>
      </c>
      <c r="F22" s="52" t="inlineStr">
        <is>
          <t>Длитель- ность (дни)</t>
        </is>
      </c>
      <c r="G22" s="53" t="inlineStr">
        <is>
          <t>Пояснение по длительности</t>
        </is>
      </c>
    </row>
    <row r="23" ht="16.5" customHeight="1" s="85">
      <c r="C23" s="54" t="n">
        <v>1</v>
      </c>
      <c r="D23" s="50" t="inlineStr">
        <is>
          <t>Устав и стартовое совещание</t>
        </is>
      </c>
      <c r="E23" s="50" t="inlineStr">
        <is>
          <t>—</t>
        </is>
      </c>
      <c r="F23" s="50" t="n">
        <v>3</v>
      </c>
      <c r="G23" s="55" t="inlineStr">
        <is>
          <t>Утверждение устава + совещание с руководителями</t>
        </is>
      </c>
    </row>
    <row r="24" ht="16.5" customHeight="1" s="85">
      <c r="C24" s="54" t="n">
        <v>2</v>
      </c>
      <c r="D24" s="50" t="inlineStr">
        <is>
          <t>Анализ регламентов ИБ</t>
        </is>
      </c>
      <c r="E24" s="50" t="n">
        <v>1</v>
      </c>
      <c r="F24" s="50" t="n">
        <v>5</v>
      </c>
      <c r="G24" s="55" t="inlineStr">
        <is>
          <t>Изучение внутренних документов по защите ПДн</t>
        </is>
      </c>
    </row>
    <row r="25" ht="16.5" customHeight="1" s="85">
      <c r="C25" s="54" t="n">
        <v>3</v>
      </c>
      <c r="D25" s="50" t="inlineStr">
        <is>
          <t>Фишинг-замер + отчет</t>
        </is>
      </c>
      <c r="E25" s="50" t="n">
        <v>2</v>
      </c>
      <c r="F25" s="50" t="n">
        <v>4</v>
      </c>
      <c r="G25" s="55" t="inlineStr">
        <is>
          <t>Скрытая рассылка + обработка результатов</t>
        </is>
      </c>
    </row>
    <row r="26" ht="16.5" customHeight="1" s="85">
      <c r="C26" s="54" t="n">
        <v>4</v>
      </c>
      <c r="D26" s="50" t="inlineStr">
        <is>
          <t>Выбор вендора + договор</t>
        </is>
      </c>
      <c r="E26" s="50" t="n">
        <v>1</v>
      </c>
      <c r="F26" s="50" t="n">
        <v>6</v>
      </c>
      <c r="G26" s="55" t="inlineStr">
        <is>
          <t>Анализ рынка, переговоры, подписание</t>
        </is>
      </c>
    </row>
    <row r="27" ht="16.5" customHeight="1" s="85">
      <c r="C27" s="54" t="n">
        <v>5</v>
      </c>
      <c r="D27" s="50" t="inlineStr">
        <is>
          <t>Учетные записи (200 чел.)</t>
        </is>
      </c>
      <c r="E27" s="50" t="n">
        <v>4</v>
      </c>
      <c r="F27" s="50" t="n">
        <v>3</v>
      </c>
      <c r="G27" s="55" t="inlineStr">
        <is>
          <t>Импорт сотрудников в платформу</t>
        </is>
      </c>
    </row>
    <row r="28" ht="16.5" customHeight="1" s="85">
      <c r="C28" s="54" t="n">
        <v>6</v>
      </c>
      <c r="D28" s="50" t="inlineStr">
        <is>
          <t>Настройка white-list</t>
        </is>
      </c>
      <c r="E28" s="50" t="inlineStr">
        <is>
          <t>3, 4</t>
        </is>
      </c>
      <c r="F28" s="50" t="n">
        <v>3</v>
      </c>
      <c r="G28" s="55" t="inlineStr">
        <is>
          <t>Внесение IP-адресов в безопасный список почты</t>
        </is>
      </c>
    </row>
    <row r="29" ht="16.5" customHeight="1" s="85">
      <c r="C29" s="54" t="n">
        <v>7</v>
      </c>
      <c r="D29" s="50" t="inlineStr">
        <is>
          <t>Курс по ПДн (№ 99-З)</t>
        </is>
      </c>
      <c r="E29" s="50" t="n">
        <v>6</v>
      </c>
      <c r="F29" s="50" t="n">
        <v>8</v>
      </c>
      <c r="G29" s="55" t="inlineStr">
        <is>
          <t>Разработка юридического модуля обучения</t>
        </is>
      </c>
    </row>
    <row r="30" ht="16.5" customHeight="1" s="85">
      <c r="C30" s="54" t="n">
        <v>8</v>
      </c>
      <c r="D30" s="50" t="inlineStr">
        <is>
          <t>Модули, видео, тесты</t>
        </is>
      </c>
      <c r="E30" s="50" t="n">
        <v>6</v>
      </c>
      <c r="F30" s="50" t="n">
        <v>10</v>
      </c>
      <c r="G30" s="55" t="inlineStr">
        <is>
          <t>Создание интерактивного контента по фишингу</t>
        </is>
      </c>
    </row>
    <row r="31" ht="16.5" customHeight="1" s="85">
      <c r="C31" s="54" t="n">
        <v>9</v>
      </c>
      <c r="D31" s="50" t="inlineStr">
        <is>
          <t>Информирование сотрудников</t>
        </is>
      </c>
      <c r="E31" s="50" t="inlineStr">
        <is>
          <t>7, 8</t>
        </is>
      </c>
      <c r="F31" s="50" t="n">
        <v>2</v>
      </c>
      <c r="G31" s="55" t="inlineStr">
        <is>
          <t>Письмо от директора + инструкции</t>
        </is>
      </c>
    </row>
    <row r="32" ht="16.5" customHeight="1" s="85">
      <c r="C32" s="54" t="n">
        <v>10</v>
      </c>
      <c r="D32" s="50" t="inlineStr">
        <is>
          <t>Микрообучение (4 недели)</t>
        </is>
      </c>
      <c r="E32" s="50" t="n">
        <v>9</v>
      </c>
      <c r="F32" s="50" t="n">
        <v>20</v>
      </c>
      <c r="G32" s="55" t="inlineStr">
        <is>
          <t>Основная фаза обучения (4 недели × 5 дней)</t>
        </is>
      </c>
    </row>
    <row r="33" ht="16.5" customHeight="1" s="85">
      <c r="C33" s="54" t="n">
        <v>11</v>
      </c>
      <c r="D33" s="50" t="inlineStr">
        <is>
          <t>Итоговый фишинг + тест</t>
        </is>
      </c>
      <c r="E33" s="50" t="n">
        <v>10</v>
      </c>
      <c r="F33" s="50" t="n">
        <v>4</v>
      </c>
      <c r="G33" s="55" t="inlineStr">
        <is>
          <t>Контрольный замер + проверка знаний</t>
        </is>
      </c>
    </row>
    <row r="34" ht="17.25" customHeight="1" s="85" thickBot="1">
      <c r="C34" s="56" t="n">
        <v>12</v>
      </c>
      <c r="D34" s="57" t="inlineStr">
        <is>
          <t>Анализ KPI + отчет + регламент</t>
        </is>
      </c>
      <c r="E34" s="57" t="n">
        <v>11</v>
      </c>
      <c r="F34" s="57" t="n">
        <v>5</v>
      </c>
      <c r="G34" s="58" t="inlineStr">
        <is>
          <t>Подготовка дашборда и утверждение регламента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F44"/>
  <sheetViews>
    <sheetView topLeftCell="A27" workbookViewId="0">
      <selection activeCell="B31" sqref="B31:F43"/>
    </sheetView>
  </sheetViews>
  <sheetFormatPr baseColWidth="8" defaultRowHeight="15"/>
  <cols>
    <col width="11.375" customWidth="1" style="85" min="2" max="2"/>
    <col width="29.375" customWidth="1" style="85" min="3" max="3"/>
    <col width="34" customWidth="1" style="85" min="4" max="4"/>
    <col width="23.875" customWidth="1" style="85" min="5" max="5"/>
    <col width="39" customWidth="1" style="85" min="6" max="6"/>
  </cols>
  <sheetData>
    <row r="3" ht="16.5" customHeight="1" s="85">
      <c r="C3" s="79" t="inlineStr">
        <is>
          <t>Код WBS</t>
        </is>
      </c>
      <c r="D3" s="79" t="inlineStr">
        <is>
          <t>Название работы</t>
        </is>
      </c>
    </row>
    <row r="4" ht="45.75" customHeight="1" s="85">
      <c r="C4" s="82" t="inlineStr">
        <is>
          <t>1.</t>
        </is>
      </c>
      <c r="D4" s="82" t="inlineStr">
        <is>
          <t>Анализ и планирование</t>
        </is>
      </c>
    </row>
    <row r="5" ht="38.25" customHeight="1" s="85">
      <c r="C5" s="82" t="inlineStr">
        <is>
          <t>1.1.</t>
        </is>
      </c>
      <c r="D5" s="82" t="inlineStr">
        <is>
          <t>Анализ конкурентов и целевой аудитории</t>
        </is>
      </c>
    </row>
    <row r="6" ht="39" customHeight="1" s="85">
      <c r="C6" s="82" t="inlineStr">
        <is>
          <t>1.2.</t>
        </is>
      </c>
      <c r="D6" s="82" t="inlineStr">
        <is>
          <t>Составление и утверждение технического задания</t>
        </is>
      </c>
    </row>
    <row r="7" ht="45" customHeight="1" s="85">
      <c r="C7" s="82" t="inlineStr">
        <is>
          <t>1.3.</t>
        </is>
      </c>
      <c r="D7" s="82" t="inlineStr">
        <is>
          <t>Разработка финансовой модели и бюджета проекта</t>
        </is>
      </c>
    </row>
    <row r="8" ht="54.75" customHeight="1" s="85">
      <c r="C8" s="82" t="inlineStr">
        <is>
          <t>2.</t>
        </is>
      </c>
      <c r="D8" s="82" t="inlineStr">
        <is>
          <t>Проектирование</t>
        </is>
      </c>
    </row>
    <row r="9" ht="51.75" customHeight="1" s="85">
      <c r="C9" s="82" t="inlineStr">
        <is>
          <t>2.1.</t>
        </is>
      </c>
      <c r="D9" s="82" t="inlineStr">
        <is>
          <t>Проектирование дизайна и пользовательского интерфейса</t>
        </is>
      </c>
    </row>
    <row r="10" ht="33" customHeight="1" s="85">
      <c r="C10" s="82" t="inlineStr">
        <is>
          <t>2.2.</t>
        </is>
      </c>
      <c r="D10" s="82" t="inlineStr">
        <is>
          <t>Проектирование структуры базы данных и каталога товаров</t>
        </is>
      </c>
    </row>
    <row r="11" ht="33" customHeight="1" s="85">
      <c r="C11" s="82" t="inlineStr">
        <is>
          <t>2.3.</t>
        </is>
      </c>
      <c r="D11" s="82" t="inlineStr">
        <is>
          <t>Проектирование системы фильтров и поиска</t>
        </is>
      </c>
    </row>
    <row r="12" ht="16.5" customHeight="1" s="85">
      <c r="C12" s="82" t="inlineStr">
        <is>
          <t>3.</t>
        </is>
      </c>
      <c r="D12" s="82" t="inlineStr">
        <is>
          <t>Разработка</t>
        </is>
      </c>
    </row>
    <row r="13" ht="33" customHeight="1" s="85">
      <c r="C13" s="82" t="inlineStr">
        <is>
          <t>3.1.</t>
        </is>
      </c>
      <c r="D13" s="82" t="inlineStr">
        <is>
          <t>Разработка бэкенда на Python (модели, API, логика заказов)</t>
        </is>
      </c>
    </row>
    <row r="14" ht="33" customHeight="1" s="85">
      <c r="C14" s="82" t="inlineStr">
        <is>
          <t>3.2.</t>
        </is>
      </c>
      <c r="D14" s="82" t="inlineStr">
        <is>
          <t>Разработка фронтенда (каталог, корзина, личный кабинет)</t>
        </is>
      </c>
    </row>
    <row r="15" ht="33" customHeight="1" s="85">
      <c r="C15" s="82" t="inlineStr">
        <is>
          <t>3.3.</t>
        </is>
      </c>
      <c r="D15" s="82" t="inlineStr">
        <is>
          <t>Разработка админ-панели для управления магазином</t>
        </is>
      </c>
    </row>
    <row r="16" ht="16.5" customHeight="1" s="85">
      <c r="C16" s="82" t="inlineStr">
        <is>
          <t>4.</t>
        </is>
      </c>
      <c r="D16" s="82" t="inlineStr">
        <is>
          <t>Интеграция и настройка</t>
        </is>
      </c>
    </row>
    <row r="17" ht="33" customHeight="1" s="85">
      <c r="C17" s="82" t="inlineStr">
        <is>
          <t>4.1.</t>
        </is>
      </c>
      <c r="D17" s="82" t="inlineStr">
        <is>
          <t>Интеграция с платёжной системой (настройка, тесты, боевой режим)</t>
        </is>
      </c>
    </row>
    <row r="18" ht="33" customHeight="1" s="85">
      <c r="C18" s="82" t="inlineStr">
        <is>
          <t>4.2.</t>
        </is>
      </c>
      <c r="D18" s="82" t="inlineStr">
        <is>
          <t>Настройка уведомлений (email/SMS о статусах заказов)</t>
        </is>
      </c>
    </row>
    <row r="19" ht="33" customHeight="1" s="85">
      <c r="C19" s="82" t="inlineStr">
        <is>
          <t>4.3.</t>
        </is>
      </c>
      <c r="D19" s="82" t="inlineStr">
        <is>
          <t>SEO-настройка (метатеги, ЧПУ, sitemap)</t>
        </is>
      </c>
    </row>
    <row r="20" ht="16.5" customHeight="1" s="85">
      <c r="C20" s="82" t="inlineStr">
        <is>
          <t>5.</t>
        </is>
      </c>
      <c r="D20" s="82" t="inlineStr">
        <is>
          <t>Наполнение контентом</t>
        </is>
      </c>
    </row>
    <row r="21" ht="33" customHeight="1" s="85">
      <c r="C21" s="82" t="inlineStr">
        <is>
          <t>5.1.</t>
        </is>
      </c>
      <c r="D21" s="82" t="inlineStr">
        <is>
          <t>Фотосъёмка, ретушь и подготовка изображений товаров</t>
        </is>
      </c>
    </row>
    <row r="22" ht="33" customHeight="1" s="85">
      <c r="C22" s="82" t="inlineStr">
        <is>
          <t>5.2.</t>
        </is>
      </c>
      <c r="D22" s="82" t="inlineStr">
        <is>
          <t>Заполнение каталога (названия, описания, цены, характеристики)</t>
        </is>
      </c>
    </row>
    <row r="23" ht="33" customHeight="1" s="85">
      <c r="C23" s="82" t="inlineStr">
        <is>
          <t>5.3.</t>
        </is>
      </c>
      <c r="D23" s="82" t="inlineStr">
        <is>
          <t>Заполнение статических страниц (о нас, доставка, оплата, возврат)</t>
        </is>
      </c>
    </row>
    <row r="24" ht="16.5" customHeight="1" s="85">
      <c r="C24" s="82" t="inlineStr">
        <is>
          <t>6.</t>
        </is>
      </c>
      <c r="D24" s="82" t="inlineStr">
        <is>
          <t>Тестирование и запуск</t>
        </is>
      </c>
    </row>
    <row r="25" ht="33" customHeight="1" s="85">
      <c r="C25" s="82" t="inlineStr">
        <is>
          <t>6.1.</t>
        </is>
      </c>
      <c r="D25" s="82" t="inlineStr">
        <is>
          <t>Функциональное и интеграционное тестирование</t>
        </is>
      </c>
    </row>
    <row r="26" ht="33" customHeight="1" s="85">
      <c r="C26" s="82" t="inlineStr">
        <is>
          <t>6.2.</t>
        </is>
      </c>
      <c r="D26" s="82" t="inlineStr">
        <is>
          <t>Тестирование безопасности и производительности</t>
        </is>
      </c>
    </row>
    <row r="27" ht="33" customHeight="1" s="85">
      <c r="C27" s="82" t="inlineStr">
        <is>
          <t>6.3.</t>
        </is>
      </c>
      <c r="D27" s="82" t="inlineStr">
        <is>
          <t>Развёртывание на сервере и открытие доступа пользователям</t>
        </is>
      </c>
    </row>
    <row r="31" ht="33" customHeight="1" s="85">
      <c r="B31" s="79" t="inlineStr">
        <is>
          <t>Код</t>
        </is>
      </c>
      <c r="C31" s="79" t="inlineStr">
        <is>
          <t>Название работы</t>
        </is>
      </c>
      <c r="D31" s="79" t="inlineStr">
        <is>
          <t>Длительность (мес.)</t>
        </is>
      </c>
      <c r="E31" s="79" t="inlineStr">
        <is>
          <t>предшествующие работы</t>
        </is>
      </c>
      <c r="F31" s="79" t="n"/>
    </row>
    <row r="32" ht="33" customHeight="1" s="85">
      <c r="B32" s="80" t="inlineStr">
        <is>
          <t>1.0</t>
        </is>
      </c>
      <c r="C32" s="80" t="inlineStr">
        <is>
          <t>Анализ рынка, аудитории и утверждение ТЗ</t>
        </is>
      </c>
      <c r="D32" s="80" t="n">
        <v>2</v>
      </c>
      <c r="E32" s="80" t="inlineStr">
        <is>
          <t>—</t>
        </is>
      </c>
      <c r="F32" s="80" t="n"/>
    </row>
    <row r="33" ht="33" customHeight="1" s="85">
      <c r="B33" s="80" t="inlineStr">
        <is>
          <t>2.0</t>
        </is>
      </c>
      <c r="C33" s="80" t="inlineStr">
        <is>
          <t>Разработка финансовой модели и бюджета</t>
        </is>
      </c>
      <c r="D33" s="80" t="n">
        <v>1.5</v>
      </c>
      <c r="E33" s="80" t="inlineStr">
        <is>
          <t>1.0</t>
        </is>
      </c>
      <c r="F33" s="80" t="n"/>
    </row>
    <row r="34" ht="33" customHeight="1" s="85">
      <c r="B34" s="80" t="inlineStr">
        <is>
          <t>3.0</t>
        </is>
      </c>
      <c r="C34" s="80" t="inlineStr">
        <is>
          <t>Проектирование дизайна и пользовательского интерфейса</t>
        </is>
      </c>
      <c r="D34" s="80" t="n">
        <v>2</v>
      </c>
      <c r="E34" s="80" t="inlineStr">
        <is>
          <t>1.0</t>
        </is>
      </c>
      <c r="F34" s="80" t="n"/>
    </row>
    <row r="35" ht="33" customHeight="1" s="85">
      <c r="B35" s="80" t="inlineStr">
        <is>
          <t>4.0</t>
        </is>
      </c>
      <c r="C35" s="80" t="inlineStr">
        <is>
          <t>Проектирование архитектуры БД и структуры каталога</t>
        </is>
      </c>
      <c r="D35" s="80" t="n">
        <v>1.5</v>
      </c>
      <c r="E35" s="80" t="inlineStr">
        <is>
          <t>1.0</t>
        </is>
      </c>
      <c r="F35" s="80" t="n"/>
    </row>
    <row r="36" ht="33" customHeight="1" s="85">
      <c r="B36" s="80" t="inlineStr">
        <is>
          <t>5.0</t>
        </is>
      </c>
      <c r="C36" s="80" t="inlineStr">
        <is>
          <t>Разработка бэкенда (API, логика, админ-панель)</t>
        </is>
      </c>
      <c r="D36" s="80" t="n">
        <v>4</v>
      </c>
      <c r="E36" s="80" t="inlineStr">
        <is>
          <t>3.0, 4.0</t>
        </is>
      </c>
      <c r="F36" s="80" t="n"/>
    </row>
    <row r="37" ht="33" customHeight="1" s="85">
      <c r="B37" s="80" t="inlineStr">
        <is>
          <t>6.0</t>
        </is>
      </c>
      <c r="C37" s="80" t="inlineStr">
        <is>
          <t>Разработка фронтенда (каталог, корзина, ЛК)</t>
        </is>
      </c>
      <c r="D37" s="80" t="n">
        <v>4</v>
      </c>
      <c r="E37" s="80" t="inlineStr">
        <is>
          <t>3.0, 5.0</t>
        </is>
      </c>
      <c r="F37" s="80" t="n"/>
    </row>
    <row r="38" ht="33" customHeight="1" s="85">
      <c r="B38" s="80" t="inlineStr">
        <is>
          <t>7.0</t>
        </is>
      </c>
      <c r="C38" s="80" t="inlineStr">
        <is>
          <t>Интеграция с платёжной системой и уведомлениями</t>
        </is>
      </c>
      <c r="D38" s="80" t="n">
        <v>2</v>
      </c>
      <c r="E38" s="80" t="inlineStr">
        <is>
          <t>5.0</t>
        </is>
      </c>
      <c r="F38" s="80" t="n"/>
    </row>
    <row r="39" ht="33" customHeight="1" s="85">
      <c r="B39" s="80" t="inlineStr">
        <is>
          <t>8.0</t>
        </is>
      </c>
      <c r="C39" s="80" t="inlineStr">
        <is>
          <t>SEO-настройка и оптимизация</t>
        </is>
      </c>
      <c r="D39" s="80" t="n">
        <v>2</v>
      </c>
      <c r="E39" s="80" t="inlineStr">
        <is>
          <t>6.0</t>
        </is>
      </c>
      <c r="F39" s="80" t="n"/>
    </row>
    <row r="40" ht="33" customHeight="1" s="85">
      <c r="B40" s="80" t="inlineStr">
        <is>
          <t>9.0</t>
        </is>
      </c>
      <c r="C40" s="80" t="inlineStr">
        <is>
          <t>Фотосъёмка и подготовка изображений товаров</t>
        </is>
      </c>
      <c r="D40" s="80" t="n">
        <v>5</v>
      </c>
      <c r="E40" s="80" t="inlineStr">
        <is>
          <t>1.0</t>
        </is>
      </c>
      <c r="F40" s="80" t="n"/>
    </row>
    <row r="41" ht="49.5" customHeight="1" s="85">
      <c r="B41" s="80" t="inlineStr">
        <is>
          <t>10.0</t>
        </is>
      </c>
      <c r="C41" s="80" t="inlineStr">
        <is>
          <t>Наполнение каталога и статических страниц контентом</t>
        </is>
      </c>
      <c r="D41" s="80" t="n">
        <v>3</v>
      </c>
      <c r="E41" s="80" t="inlineStr">
        <is>
          <t>6.0, 9.0</t>
        </is>
      </c>
      <c r="F41" s="80" t="n"/>
    </row>
    <row r="42" ht="49.5" customHeight="1" s="85">
      <c r="B42" s="80" t="inlineStr">
        <is>
          <t>11.0</t>
        </is>
      </c>
      <c r="C42" s="80" t="inlineStr">
        <is>
          <t>Комплексное тестирование (функции, безопасность, скорость)</t>
        </is>
      </c>
      <c r="D42" s="80" t="n">
        <v>2</v>
      </c>
      <c r="E42" s="80" t="inlineStr">
        <is>
          <t>5.0, 6.0, 7.0, 10.0</t>
        </is>
      </c>
      <c r="F42" s="80" t="n"/>
    </row>
    <row r="43" ht="33" customHeight="1" s="85">
      <c r="B43" s="80" t="inlineStr">
        <is>
          <t>12.0</t>
        </is>
      </c>
      <c r="C43" s="80" t="inlineStr">
        <is>
          <t>Развёртывание на сервере и запуск для пользователей</t>
        </is>
      </c>
      <c r="D43" s="80" t="n">
        <v>1</v>
      </c>
      <c r="E43" s="80" t="inlineStr">
        <is>
          <t>11.0</t>
        </is>
      </c>
      <c r="F43" s="80" t="n"/>
    </row>
    <row r="44">
      <c r="B44" s="81" t="n"/>
      <c r="C44" s="81" t="n"/>
      <c r="D44" s="81" t="n"/>
      <c r="E44" s="81" t="n"/>
      <c r="F44" s="8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L41"/>
  <sheetViews>
    <sheetView topLeftCell="B10" workbookViewId="0">
      <selection activeCell="B19" sqref="B19:L28"/>
    </sheetView>
  </sheetViews>
  <sheetFormatPr baseColWidth="8" defaultRowHeight="15"/>
  <cols>
    <col width="17.375" customWidth="1" style="85" min="2" max="2"/>
    <col width="20.25" customWidth="1" style="85" min="3" max="3"/>
    <col width="21.375" customWidth="1" style="85" min="4" max="4"/>
    <col width="18.5" customWidth="1" style="85" min="5" max="5"/>
    <col width="15.125" customWidth="1" style="85" min="6" max="6"/>
    <col width="18.25" customWidth="1" style="85" min="7" max="7"/>
    <col width="12.5" customWidth="1" style="85" min="8" max="8"/>
    <col width="18" customWidth="1" style="85" min="9" max="9"/>
    <col width="18.25" customWidth="1" style="85" min="10" max="10"/>
    <col width="16.125" customWidth="1" style="85" min="11" max="11"/>
    <col width="21" customWidth="1" style="85" min="12" max="12"/>
  </cols>
  <sheetData>
    <row r="4">
      <c r="B4" s="19" t="inlineStr">
        <is>
          <t>Столбец1</t>
        </is>
      </c>
      <c r="C4" s="28" t="inlineStr">
        <is>
          <t>Столбец2</t>
        </is>
      </c>
      <c r="D4" s="28" t="inlineStr">
        <is>
          <t>Столбец3</t>
        </is>
      </c>
      <c r="E4" s="28" t="inlineStr">
        <is>
          <t>Столбец32</t>
        </is>
      </c>
      <c r="F4" s="28" t="inlineStr">
        <is>
          <t>Столбец4</t>
        </is>
      </c>
      <c r="G4" s="28" t="inlineStr">
        <is>
          <t>Столбец5</t>
        </is>
      </c>
      <c r="H4" s="28" t="inlineStr">
        <is>
          <t>Столбец6</t>
        </is>
      </c>
      <c r="I4" s="28" t="inlineStr">
        <is>
          <t>Столбец7</t>
        </is>
      </c>
      <c r="J4" s="28" t="inlineStr">
        <is>
          <t>Столбец8</t>
        </is>
      </c>
      <c r="K4" s="28" t="inlineStr">
        <is>
          <t>Столбец9</t>
        </is>
      </c>
      <c r="L4" s="28" t="inlineStr">
        <is>
          <t>Столбец10</t>
        </is>
      </c>
    </row>
    <row r="5" ht="30" customHeight="1" s="85">
      <c r="B5" s="23" t="n"/>
      <c r="C5" s="28" t="inlineStr">
        <is>
          <t>ЗАДАЧА</t>
        </is>
      </c>
      <c r="D5" s="25" t="inlineStr">
        <is>
          <t>ПРЕДШЕСТВУЮЩИЕ РАБОТЫ</t>
        </is>
      </c>
      <c r="E5" s="25" t="inlineStr">
        <is>
          <t>ПОСЛЕДУЮЩИЕ РАБОТЫ</t>
        </is>
      </c>
      <c r="F5" s="25" t="inlineStr">
        <is>
          <t>РАННИЙ СТАРТ</t>
        </is>
      </c>
      <c r="G5" s="25" t="inlineStr">
        <is>
          <t xml:space="preserve">ДЛИТЕЛЬНОСТЬ </t>
        </is>
      </c>
      <c r="H5" s="25" t="inlineStr">
        <is>
          <t>РАННИЙ ФИНИШ</t>
        </is>
      </c>
      <c r="I5" s="25" t="inlineStr">
        <is>
          <t>ПОЗДНИЙ СТАРТ</t>
        </is>
      </c>
      <c r="J5" s="25" t="inlineStr">
        <is>
          <t>ПОЗДНИЙ ФИНИШ</t>
        </is>
      </c>
      <c r="K5" s="22" t="inlineStr">
        <is>
          <t xml:space="preserve">РЕЗЕРВ </t>
        </is>
      </c>
      <c r="L5" s="24" t="inlineStr">
        <is>
          <t>КРИТИЧЕСКИЙ ПУТЬ</t>
        </is>
      </c>
    </row>
    <row r="6" ht="120" customHeight="1" s="85">
      <c r="B6" s="23" t="n"/>
      <c r="C6" s="28" t="n"/>
      <c r="D6" s="25" t="n"/>
      <c r="E6" s="25" t="n"/>
      <c r="F6" s="25" t="inlineStr">
        <is>
          <t>Ранний старт (ES) — самый ранний возможный день начала. ES = МАКС(EF всех предшественников)</t>
        </is>
      </c>
      <c r="G6" s="25" t="inlineStr">
        <is>
          <t>Длительность (D) — сколько времени занимает задача.</t>
        </is>
      </c>
      <c r="H6" s="25" t="inlineStr">
        <is>
          <t>Ранний финиш (EF) = ES + D — самый ранний возможный день окончания.</t>
        </is>
      </c>
      <c r="I6" s="25" t="inlineStr">
        <is>
          <t>LS = Позднее начало (Late Start) LS = LF - D</t>
        </is>
      </c>
      <c r="J6" s="25" t="inlineStr">
        <is>
          <t>(Late Finish) LF = МИН(LS всех последователей)</t>
        </is>
      </c>
      <c r="K6" s="25" t="inlineStr">
        <is>
          <t>Полный резерв (TF) =LS-ES, Насколько МОЖНО задержать ВСЮ задачу</t>
        </is>
      </c>
      <c r="L6" s="26" t="n"/>
    </row>
    <row r="7" ht="21" customHeight="1" s="85">
      <c r="B7" s="27" t="inlineStr">
        <is>
          <t>№</t>
        </is>
      </c>
      <c r="C7" s="28" t="n"/>
      <c r="D7" s="25" t="n"/>
      <c r="E7" s="25" t="n"/>
      <c r="F7" s="25" t="n"/>
      <c r="G7" s="25" t="n"/>
      <c r="H7" s="25" t="n"/>
      <c r="I7" s="25" t="n"/>
      <c r="J7" s="25" t="n"/>
      <c r="K7" s="25" t="n"/>
      <c r="L7" s="26" t="n"/>
    </row>
    <row r="8" ht="21" customHeight="1" s="85">
      <c r="B8" s="29" t="n">
        <v>1</v>
      </c>
      <c r="C8" s="30" t="inlineStr">
        <is>
          <t>Устав и стартовое совещание</t>
        </is>
      </c>
      <c r="D8" s="31" t="inlineStr">
        <is>
          <t>—</t>
        </is>
      </c>
      <c r="E8" s="31" t="inlineStr">
        <is>
          <t>2, 4</t>
        </is>
      </c>
      <c r="F8" s="31" t="n">
        <v>1</v>
      </c>
      <c r="G8" s="31" t="n">
        <v>3</v>
      </c>
      <c r="H8" s="46">
        <f>F8+G8</f>
        <v/>
      </c>
      <c r="I8" s="46">
        <f>Таблица1[[#This Row],[Столбец8]]-Таблица1[[#This Row],[Столбец5]]</f>
        <v/>
      </c>
      <c r="J8" s="31">
        <f>MIN(I9,I11)</f>
        <v/>
      </c>
      <c r="K8" s="47">
        <f>Таблица1[[#This Row],[Столбец7]]-Таблица1[[#This Row],[Столбец4]]</f>
        <v/>
      </c>
      <c r="L8" s="48">
        <f>IF(Таблица1[[#This Row],[Столбец9]]=0,"ДА","НЕТ ")</f>
        <v/>
      </c>
    </row>
    <row r="9" ht="21" customHeight="1" s="85">
      <c r="B9" s="29" t="n">
        <v>2</v>
      </c>
      <c r="C9" s="30" t="inlineStr">
        <is>
          <t>Анализ регламентов ИБ</t>
        </is>
      </c>
      <c r="D9" s="31" t="inlineStr">
        <is>
          <t>1</t>
        </is>
      </c>
      <c r="E9" s="31" t="inlineStr">
        <is>
          <t>3</t>
        </is>
      </c>
      <c r="F9" s="31">
        <f>H8</f>
        <v/>
      </c>
      <c r="G9" s="31" t="n">
        <v>5</v>
      </c>
      <c r="H9" s="46">
        <f>F9+G9</f>
        <v/>
      </c>
      <c r="I9" s="46">
        <f>Таблица1[[#This Row],[Столбец8]]-Таблица1[[#This Row],[Столбец5]]</f>
        <v/>
      </c>
      <c r="J9" s="31">
        <f>I10</f>
        <v/>
      </c>
      <c r="K9" s="47">
        <f>Таблица1[[#This Row],[Столбец7]]-Таблица1[[#This Row],[Столбец4]]</f>
        <v/>
      </c>
      <c r="L9" s="48">
        <f>IF(Таблица1[[#This Row],[Столбец9]]=0,"ДА","НЕТ ")</f>
        <v/>
      </c>
    </row>
    <row r="10" ht="21" customHeight="1" s="85">
      <c r="B10" s="29" t="n">
        <v>3</v>
      </c>
      <c r="C10" s="30" t="inlineStr">
        <is>
          <t>Фишинг-замер + отчёт</t>
        </is>
      </c>
      <c r="D10" s="31" t="inlineStr">
        <is>
          <t>2</t>
        </is>
      </c>
      <c r="E10" s="31" t="inlineStr">
        <is>
          <t>6</t>
        </is>
      </c>
      <c r="F10" s="31">
        <f>H9</f>
        <v/>
      </c>
      <c r="G10" s="31" t="n">
        <v>4</v>
      </c>
      <c r="H10" s="46">
        <f>F10+G10</f>
        <v/>
      </c>
      <c r="I10" s="46">
        <f>Таблица1[[#This Row],[Столбец8]]-Таблица1[[#This Row],[Столбец5]]</f>
        <v/>
      </c>
      <c r="J10" s="31">
        <f>I13</f>
        <v/>
      </c>
      <c r="K10" s="47">
        <f>Таблица1[[#This Row],[Столбец7]]-Таблица1[[#This Row],[Столбец4]]</f>
        <v/>
      </c>
      <c r="L10" s="48">
        <f>IF(Таблица1[[#This Row],[Столбец9]]=0,"ДА","НЕТ ")</f>
        <v/>
      </c>
    </row>
    <row r="11" ht="21" customHeight="1" s="85">
      <c r="B11" s="29" t="n">
        <v>4</v>
      </c>
      <c r="C11" s="30" t="inlineStr">
        <is>
          <t>Выбор вендора + договор</t>
        </is>
      </c>
      <c r="D11" s="31" t="inlineStr">
        <is>
          <t>1</t>
        </is>
      </c>
      <c r="E11" s="31" t="inlineStr">
        <is>
          <t>5, 6</t>
        </is>
      </c>
      <c r="F11" s="31">
        <f>H8</f>
        <v/>
      </c>
      <c r="G11" s="31" t="n">
        <v>6</v>
      </c>
      <c r="H11" s="46">
        <f>F11+G11</f>
        <v/>
      </c>
      <c r="I11" s="46">
        <f>Таблица1[[#This Row],[Столбец8]]-Таблица1[[#This Row],[Столбец5]]</f>
        <v/>
      </c>
      <c r="J11" s="31">
        <f>MIN(I12,I13)</f>
        <v/>
      </c>
      <c r="K11" s="47">
        <f>Таблица1[[#This Row],[Столбец7]]-Таблица1[[#This Row],[Столбец4]]</f>
        <v/>
      </c>
      <c r="L11" s="48">
        <f>IF(Таблица1[[#This Row],[Столбец9]]=0,"ДА","НЕТ ")</f>
        <v/>
      </c>
    </row>
    <row r="12" ht="21" customHeight="1" s="85">
      <c r="B12" s="29" t="n">
        <v>5</v>
      </c>
      <c r="C12" s="30" t="inlineStr">
        <is>
          <t>Учётные записи (200 чел.)</t>
        </is>
      </c>
      <c r="D12" s="31" t="inlineStr">
        <is>
          <t>4</t>
        </is>
      </c>
      <c r="E12" s="31" t="inlineStr">
        <is>
          <t>—</t>
        </is>
      </c>
      <c r="F12" s="31">
        <f>H11</f>
        <v/>
      </c>
      <c r="G12" s="31" t="n">
        <v>3</v>
      </c>
      <c r="H12" s="46">
        <f>F12+G12</f>
        <v/>
      </c>
      <c r="I12" s="46">
        <f>Таблица1[[#This Row],[Столбец8]]-Таблица1[[#This Row],[Столбец5]]</f>
        <v/>
      </c>
      <c r="J12" s="31">
        <f>MAX($H$8:$H$19)</f>
        <v/>
      </c>
      <c r="K12" s="47">
        <f>Таблица1[[#This Row],[Столбец7]]-Таблица1[[#This Row],[Столбец4]]</f>
        <v/>
      </c>
      <c r="L12" s="48">
        <f>IF(Таблица1[[#This Row],[Столбец9]]=0,"ДА","НЕТ ")</f>
        <v/>
      </c>
    </row>
    <row r="13" ht="21" customHeight="1" s="85">
      <c r="B13" s="29" t="n">
        <v>6</v>
      </c>
      <c r="C13" s="30" t="inlineStr">
        <is>
          <t>Настройка white-list</t>
        </is>
      </c>
      <c r="D13" s="31" t="inlineStr">
        <is>
          <t>3, 4</t>
        </is>
      </c>
      <c r="E13" s="31" t="inlineStr">
        <is>
          <t>7, 8</t>
        </is>
      </c>
      <c r="F13" s="31">
        <f>MAX(H10,H11)</f>
        <v/>
      </c>
      <c r="G13" s="31" t="n">
        <v>3</v>
      </c>
      <c r="H13" s="49">
        <f>F13+G13</f>
        <v/>
      </c>
      <c r="I13" s="46">
        <f>Таблица1[[#This Row],[Столбец8]]-Таблица1[[#This Row],[Столбец5]]</f>
        <v/>
      </c>
      <c r="J13" s="31">
        <f>MIN(I14,I15)</f>
        <v/>
      </c>
      <c r="K13" s="47">
        <f>Таблица1[[#This Row],[Столбец7]]-Таблица1[[#This Row],[Столбец4]]</f>
        <v/>
      </c>
      <c r="L13" s="48">
        <f>IF(Таблица1[[#This Row],[Столбец9]]=0,"ДА","НЕТ ")</f>
        <v/>
      </c>
    </row>
    <row r="14" ht="21" customHeight="1" s="85">
      <c r="B14" s="29" t="n">
        <v>7</v>
      </c>
      <c r="C14" s="30" t="inlineStr">
        <is>
          <t>Курс по ПДн (№ 99-З)</t>
        </is>
      </c>
      <c r="D14" s="31" t="inlineStr">
        <is>
          <t>6</t>
        </is>
      </c>
      <c r="E14" s="31" t="inlineStr">
        <is>
          <t>9</t>
        </is>
      </c>
      <c r="F14" s="31">
        <f>H13</f>
        <v/>
      </c>
      <c r="G14" s="31" t="n">
        <v>8</v>
      </c>
      <c r="H14" s="46">
        <f>F14+G14</f>
        <v/>
      </c>
      <c r="I14" s="46">
        <f>Таблица1[[#This Row],[Столбец8]]-Таблица1[[#This Row],[Столбец5]]</f>
        <v/>
      </c>
      <c r="J14" s="31">
        <f>I16</f>
        <v/>
      </c>
      <c r="K14" s="47">
        <f>Таблица1[[#This Row],[Столбец7]]-Таблица1[[#This Row],[Столбец4]]</f>
        <v/>
      </c>
      <c r="L14" s="48">
        <f>IF(Таблица1[[#This Row],[Столбец9]]=0,"ДА","НЕТ ")</f>
        <v/>
      </c>
    </row>
    <row r="15" ht="21" customHeight="1" s="85">
      <c r="B15" s="29" t="n">
        <v>8</v>
      </c>
      <c r="C15" s="30" t="inlineStr">
        <is>
          <t>Модули, видео, тесты</t>
        </is>
      </c>
      <c r="D15" s="31" t="inlineStr">
        <is>
          <t>6</t>
        </is>
      </c>
      <c r="E15" s="31" t="inlineStr">
        <is>
          <t>9</t>
        </is>
      </c>
      <c r="F15" s="31">
        <f>H13</f>
        <v/>
      </c>
      <c r="G15" s="31" t="n">
        <v>10</v>
      </c>
      <c r="H15" s="46">
        <f>F15+G15</f>
        <v/>
      </c>
      <c r="I15" s="46">
        <f>Таблица1[[#This Row],[Столбец8]]-Таблица1[[#This Row],[Столбец5]]</f>
        <v/>
      </c>
      <c r="J15" s="31">
        <f>I16</f>
        <v/>
      </c>
      <c r="K15" s="47">
        <f>Таблица1[[#This Row],[Столбец7]]-Таблица1[[#This Row],[Столбец4]]</f>
        <v/>
      </c>
      <c r="L15" s="48">
        <f>IF(Таблица1[[#This Row],[Столбец9]]=0,"ДА","НЕТ ")</f>
        <v/>
      </c>
    </row>
    <row r="16" ht="21" customHeight="1" s="85">
      <c r="B16" s="29" t="n">
        <v>9</v>
      </c>
      <c r="C16" s="30" t="inlineStr">
        <is>
          <t>Информирование сотрудников</t>
        </is>
      </c>
      <c r="D16" s="31" t="inlineStr">
        <is>
          <t>7, 8</t>
        </is>
      </c>
      <c r="E16" s="31" t="inlineStr">
        <is>
          <t>10</t>
        </is>
      </c>
      <c r="F16" s="31">
        <f>MAX(H14,H15)</f>
        <v/>
      </c>
      <c r="G16" s="31" t="n">
        <v>2</v>
      </c>
      <c r="H16" s="46">
        <f>F16+G16</f>
        <v/>
      </c>
      <c r="I16" s="46">
        <f>Таблица1[[#This Row],[Столбец8]]-Таблица1[[#This Row],[Столбец5]]</f>
        <v/>
      </c>
      <c r="J16" s="31">
        <f>I17</f>
        <v/>
      </c>
      <c r="K16" s="47">
        <f>Таблица1[[#This Row],[Столбец7]]-Таблица1[[#This Row],[Столбец4]]</f>
        <v/>
      </c>
      <c r="L16" s="48">
        <f>IF(Таблица1[[#This Row],[Столбец9]]=0,"ДА","НЕТ ")</f>
        <v/>
      </c>
    </row>
    <row r="17" ht="21" customHeight="1" s="85">
      <c r="B17" s="33" t="n">
        <v>10</v>
      </c>
      <c r="C17" s="34" t="inlineStr">
        <is>
          <t>Микрообучение (4 недели)</t>
        </is>
      </c>
      <c r="D17" s="35" t="inlineStr">
        <is>
          <t>9</t>
        </is>
      </c>
      <c r="E17" s="35" t="inlineStr">
        <is>
          <t>11</t>
        </is>
      </c>
      <c r="F17" s="35">
        <f>H16</f>
        <v/>
      </c>
      <c r="G17" s="35" t="n">
        <v>20</v>
      </c>
      <c r="H17" s="46">
        <f>F17+G17</f>
        <v/>
      </c>
      <c r="I17" s="46">
        <f>Таблица1[[#This Row],[Столбец8]]-Таблица1[[#This Row],[Столбец5]]</f>
        <v/>
      </c>
      <c r="J17" s="35">
        <f>I18</f>
        <v/>
      </c>
      <c r="K17" s="47">
        <f>Таблица1[[#This Row],[Столбец7]]-Таблица1[[#This Row],[Столбец4]]</f>
        <v/>
      </c>
      <c r="L17" s="48">
        <f>IF(Таблица1[[#This Row],[Столбец9]]=0,"ДА","НЕТ ")</f>
        <v/>
      </c>
    </row>
    <row r="18" ht="21" customHeight="1" s="85">
      <c r="B18" s="33" t="n">
        <v>11</v>
      </c>
      <c r="C18" s="34" t="inlineStr">
        <is>
          <t>Итоговый фишинг + тест</t>
        </is>
      </c>
      <c r="D18" s="35" t="inlineStr">
        <is>
          <t>10</t>
        </is>
      </c>
      <c r="E18" s="35" t="inlineStr">
        <is>
          <t>12</t>
        </is>
      </c>
      <c r="F18" s="35">
        <f>H17</f>
        <v/>
      </c>
      <c r="G18" s="35" t="n">
        <v>4</v>
      </c>
      <c r="H18" s="46">
        <f>F18+G18</f>
        <v/>
      </c>
      <c r="I18" s="46">
        <f>Таблица1[[#This Row],[Столбец8]]-Таблица1[[#This Row],[Столбец5]]</f>
        <v/>
      </c>
      <c r="J18" s="35">
        <f>I19</f>
        <v/>
      </c>
      <c r="K18" s="47">
        <f>Таблица1[[#This Row],[Столбец7]]-Таблица1[[#This Row],[Столбец4]]</f>
        <v/>
      </c>
      <c r="L18" s="48">
        <f>IF(Таблица1[[#This Row],[Столбец9]]=0,"ДА","НЕТ ")</f>
        <v/>
      </c>
    </row>
    <row r="19" ht="21" customHeight="1" s="85">
      <c r="B19" s="33" t="n">
        <v>12</v>
      </c>
      <c r="C19" s="34" t="inlineStr">
        <is>
          <t>Анализ KPI + отчёт + регламент</t>
        </is>
      </c>
      <c r="D19" s="35" t="inlineStr">
        <is>
          <t>11</t>
        </is>
      </c>
      <c r="E19" s="35" t="inlineStr">
        <is>
          <t>—</t>
        </is>
      </c>
      <c r="F19" s="35">
        <f>H18</f>
        <v/>
      </c>
      <c r="G19" s="35" t="n">
        <v>5</v>
      </c>
      <c r="H19" s="46">
        <f>F19+G19</f>
        <v/>
      </c>
      <c r="I19" s="46">
        <f>Таблица1[[#This Row],[Столбец8]]-Таблица1[[#This Row],[Столбец5]]</f>
        <v/>
      </c>
      <c r="J19" s="35">
        <f>MAX($H$8:$H$19)</f>
        <v/>
      </c>
      <c r="K19" s="47">
        <f>Таблица1[[#This Row],[Столбец7]]-Таблица1[[#This Row],[Столбец4]]</f>
        <v/>
      </c>
      <c r="L19" s="48">
        <f>IF(Таблица1[[#This Row],[Столбец9]]=0,"ДА","НЕТ ")</f>
        <v/>
      </c>
    </row>
    <row r="20" ht="21" customHeight="1" s="85">
      <c r="B20" s="33" t="n"/>
      <c r="C20" s="34" t="n"/>
      <c r="D20" s="35" t="n"/>
      <c r="E20" s="35" t="n"/>
      <c r="F20" s="35" t="n"/>
      <c r="G20" s="35" t="n"/>
      <c r="H20" s="46" t="n"/>
      <c r="I20" s="46" t="n"/>
      <c r="J20" s="35" t="n"/>
      <c r="K20" s="47" t="n"/>
      <c r="L20" s="48" t="n"/>
    </row>
    <row r="21" ht="21" customHeight="1" s="85">
      <c r="B21" s="33" t="n"/>
      <c r="C21" s="34" t="n"/>
      <c r="D21" s="35" t="n"/>
      <c r="E21" s="35" t="n"/>
      <c r="F21" s="35" t="n"/>
      <c r="G21" s="35" t="n"/>
      <c r="H21" s="46" t="n"/>
      <c r="I21" s="46" t="n"/>
      <c r="J21" s="35" t="n"/>
      <c r="K21" s="47" t="n"/>
      <c r="L21" s="48" t="n"/>
    </row>
    <row r="22" ht="21" customHeight="1" s="85">
      <c r="B22" s="33" t="n"/>
      <c r="C22" s="34" t="n"/>
      <c r="D22" s="35" t="n"/>
      <c r="E22" s="35" t="n"/>
      <c r="F22" s="35" t="n"/>
      <c r="G22" s="35" t="n"/>
      <c r="H22" s="46" t="n"/>
      <c r="I22" s="46" t="n"/>
      <c r="J22" s="35" t="n"/>
      <c r="K22" s="47" t="n"/>
      <c r="L22" s="48" t="n"/>
    </row>
    <row r="23" ht="21" customHeight="1" s="85">
      <c r="B23" s="33" t="n">
        <v>16</v>
      </c>
      <c r="C23" s="34" t="n"/>
      <c r="D23" s="35" t="n"/>
      <c r="E23" s="35" t="n"/>
      <c r="F23" s="35" t="n"/>
      <c r="G23" s="35" t="n"/>
      <c r="H23" s="46">
        <f>F23+G23</f>
        <v/>
      </c>
      <c r="I23" s="46">
        <f>Таблица1[[#This Row],[Столбец8]]-Таблица1[[#This Row],[Столбец5]]</f>
        <v/>
      </c>
      <c r="J23" s="35" t="n"/>
      <c r="K23" s="47">
        <f>Таблица1[[#This Row],[Столбец7]]-Таблица1[[#This Row],[Столбец4]]</f>
        <v/>
      </c>
      <c r="L23" s="48">
        <f>IF(Таблица1[[#This Row],[Столбец9]]=0,"ДА","НЕТ ")</f>
        <v/>
      </c>
    </row>
    <row r="24" ht="21" customHeight="1" s="85">
      <c r="B24" s="33" t="n">
        <v>17</v>
      </c>
      <c r="C24" s="34" t="n"/>
      <c r="D24" s="35" t="n"/>
      <c r="E24" s="35" t="n"/>
      <c r="F24" s="35" t="n"/>
      <c r="G24" s="35" t="n"/>
      <c r="H24" s="46">
        <f>F24+G24</f>
        <v/>
      </c>
      <c r="I24" s="46">
        <f>Таблица1[[#This Row],[Столбец8]]-Таблица1[[#This Row],[Столбец5]]</f>
        <v/>
      </c>
      <c r="J24" s="35" t="n"/>
      <c r="K24" s="47">
        <f>Таблица1[[#This Row],[Столбец7]]-Таблица1[[#This Row],[Столбец4]]</f>
        <v/>
      </c>
      <c r="L24" s="48">
        <f>IF(Таблица1[[#This Row],[Столбец9]]=0,"ДА","НЕТ ")</f>
        <v/>
      </c>
    </row>
    <row r="25" ht="21" customHeight="1" s="85">
      <c r="B25" s="33" t="n">
        <v>18</v>
      </c>
      <c r="C25" s="34" t="n"/>
      <c r="D25" s="35" t="n"/>
      <c r="E25" s="35" t="n"/>
      <c r="F25" s="35" t="n"/>
      <c r="G25" s="35" t="n"/>
      <c r="H25" s="46">
        <f>F25+G25</f>
        <v/>
      </c>
      <c r="I25" s="46">
        <f>Таблица1[[#This Row],[Столбец8]]-Таблица1[[#This Row],[Столбец5]]</f>
        <v/>
      </c>
      <c r="J25" s="35" t="n"/>
      <c r="K25" s="47">
        <f>Таблица1[[#This Row],[Столбец7]]-Таблица1[[#This Row],[Столбец4]]</f>
        <v/>
      </c>
      <c r="L25" s="48">
        <f>IF(Таблица1[[#This Row],[Столбец9]]=0,"ДА","НЕТ ")</f>
        <v/>
      </c>
    </row>
    <row r="26" ht="21" customHeight="1" s="85">
      <c r="B26" s="33" t="n">
        <v>19</v>
      </c>
      <c r="C26" s="34" t="n"/>
      <c r="D26" s="35" t="n"/>
      <c r="E26" s="35" t="n"/>
      <c r="F26" s="35" t="n"/>
      <c r="G26" s="35" t="n"/>
      <c r="H26" s="46">
        <f>F26+G26</f>
        <v/>
      </c>
      <c r="I26" s="46">
        <f>Таблица1[[#This Row],[Столбец8]]-Таблица1[[#This Row],[Столбец5]]</f>
        <v/>
      </c>
      <c r="J26" s="35" t="n"/>
      <c r="K26" s="47">
        <f>Таблица1[[#This Row],[Столбец7]]-Таблица1[[#This Row],[Столбец4]]</f>
        <v/>
      </c>
      <c r="L26" s="48">
        <f>IF(Таблица1[[#This Row],[Столбец9]]=0,"ДА","НЕТ ")</f>
        <v/>
      </c>
    </row>
    <row r="27" ht="21" customHeight="1" s="85">
      <c r="B27" s="33" t="n">
        <v>20</v>
      </c>
      <c r="C27" s="34" t="n"/>
      <c r="D27" s="35" t="n"/>
      <c r="E27" s="35" t="n"/>
      <c r="F27" s="35" t="n"/>
      <c r="G27" s="35" t="n"/>
      <c r="H27" s="46">
        <f>F27+G27</f>
        <v/>
      </c>
      <c r="I27" s="46">
        <f>Таблица1[[#This Row],[Столбец8]]-Таблица1[[#This Row],[Столбец5]]</f>
        <v/>
      </c>
      <c r="J27" s="35" t="n"/>
      <c r="K27" s="47">
        <f>Таблица1[[#This Row],[Столбец7]]-Таблица1[[#This Row],[Столбец4]]</f>
        <v/>
      </c>
      <c r="L27" s="48">
        <f>IF(Таблица1[[#This Row],[Столбец9]]=0,"ДА","НЕТ ")</f>
        <v/>
      </c>
    </row>
    <row r="28" ht="21" customHeight="1" s="85">
      <c r="B28" s="33" t="n">
        <v>21</v>
      </c>
      <c r="C28" s="34" t="n"/>
      <c r="D28" s="35" t="n"/>
      <c r="E28" s="35" t="n"/>
      <c r="F28" s="35" t="n"/>
      <c r="G28" s="35" t="n"/>
      <c r="H28" s="46">
        <f>F28+G28</f>
        <v/>
      </c>
      <c r="I28" s="46">
        <f>Таблица1[[#This Row],[Столбец8]]-Таблица1[[#This Row],[Столбец5]]</f>
        <v/>
      </c>
      <c r="J28" s="35" t="n"/>
      <c r="K28" s="47">
        <f>Таблица1[[#This Row],[Столбец7]]-Таблица1[[#This Row],[Столбец4]]</f>
        <v/>
      </c>
      <c r="L28" s="48">
        <f>IF(Таблица1[[#This Row],[Столбец9]]=0,"ДА","НЕТ ")</f>
        <v/>
      </c>
    </row>
    <row r="32" ht="15.75" customHeight="1" s="85" thickBot="1"/>
    <row r="33" ht="32.25" customHeight="1" s="85" thickBot="1">
      <c r="C33" s="83" t="inlineStr">
        <is>
          <t xml:space="preserve">Операция </t>
        </is>
      </c>
      <c r="D33" s="83" t="inlineStr">
        <is>
          <t xml:space="preserve">Описание </t>
        </is>
      </c>
      <c r="E33" s="83" t="inlineStr">
        <is>
          <t xml:space="preserve">Предшествующая операция </t>
        </is>
      </c>
      <c r="F33" s="83" t="inlineStr">
        <is>
          <t xml:space="preserve">Время операции </t>
        </is>
      </c>
    </row>
    <row r="34" ht="32.25" customHeight="1" s="85" thickBot="1">
      <c r="C34" s="84" t="inlineStr">
        <is>
          <t>А</t>
        </is>
      </c>
      <c r="D34" s="84" t="inlineStr">
        <is>
          <t>Утверждение приложения</t>
        </is>
      </c>
      <c r="E34" s="84" t="inlineStr">
        <is>
          <t>нет</t>
        </is>
      </c>
      <c r="F34" s="84" t="n">
        <v>5</v>
      </c>
    </row>
    <row r="35" ht="32.25" customHeight="1" s="85" thickBot="1">
      <c r="C35" s="84" t="inlineStr">
        <is>
          <t>В</t>
        </is>
      </c>
      <c r="D35" s="84" t="inlineStr">
        <is>
          <t>Планы конструирования</t>
        </is>
      </c>
      <c r="E35" s="84" t="inlineStr">
        <is>
          <t>А</t>
        </is>
      </c>
      <c r="F35" s="84" t="n">
        <v>15</v>
      </c>
    </row>
    <row r="36" ht="16.5" customHeight="1" s="85" thickBot="1">
      <c r="C36" s="84" t="inlineStr">
        <is>
          <t>С</t>
        </is>
      </c>
      <c r="D36" s="84" t="inlineStr">
        <is>
          <t>Изучение трафика</t>
        </is>
      </c>
      <c r="E36" s="84" t="inlineStr">
        <is>
          <t>А</t>
        </is>
      </c>
      <c r="F36" s="84" t="n">
        <v>10</v>
      </c>
    </row>
    <row r="37" ht="32.25" customHeight="1" s="85" thickBot="1">
      <c r="C37" s="84" t="inlineStr">
        <is>
          <t>D</t>
        </is>
      </c>
      <c r="D37" s="84" t="inlineStr">
        <is>
          <t>Проверка наличия службы</t>
        </is>
      </c>
      <c r="E37" s="84" t="inlineStr">
        <is>
          <t>А</t>
        </is>
      </c>
      <c r="F37" s="84" t="n">
        <v>5</v>
      </c>
    </row>
    <row r="38" ht="16.5" customHeight="1" s="85" thickBot="1">
      <c r="C38" s="84" t="inlineStr">
        <is>
          <t>Е</t>
        </is>
      </c>
      <c r="D38" s="84" t="inlineStr">
        <is>
          <t>Отчет персонала</t>
        </is>
      </c>
      <c r="E38" s="84" t="inlineStr">
        <is>
          <t>В, С</t>
        </is>
      </c>
      <c r="F38" s="84" t="n">
        <v>15</v>
      </c>
    </row>
    <row r="39" ht="16.5" customHeight="1" s="85" thickBot="1">
      <c r="C39" s="84" t="inlineStr">
        <is>
          <t>F</t>
        </is>
      </c>
      <c r="D39" s="84" t="inlineStr">
        <is>
          <t>Одобрение комиссии</t>
        </is>
      </c>
      <c r="E39" s="84" t="inlineStr">
        <is>
          <t>В, C, D</t>
        </is>
      </c>
      <c r="F39" s="84" t="n">
        <v>10</v>
      </c>
    </row>
    <row r="40" ht="16.5" customHeight="1" s="85" thickBot="1">
      <c r="C40" s="84" t="inlineStr">
        <is>
          <t>G</t>
        </is>
      </c>
      <c r="D40" s="84" t="inlineStr">
        <is>
          <t>Ожидание работ</t>
        </is>
      </c>
      <c r="E40" s="84" t="inlineStr">
        <is>
          <t>F</t>
        </is>
      </c>
      <c r="F40" s="84" t="n">
        <v>170</v>
      </c>
    </row>
    <row r="41" ht="16.5" customHeight="1" s="85" thickBot="1">
      <c r="C41" s="84" t="inlineStr">
        <is>
          <t>Н</t>
        </is>
      </c>
      <c r="D41" s="84" t="inlineStr">
        <is>
          <t>Включение в работу</t>
        </is>
      </c>
      <c r="E41" s="84" t="inlineStr">
        <is>
          <t>Е, G</t>
        </is>
      </c>
      <c r="F41" s="84" t="n">
        <v>35</v>
      </c>
    </row>
  </sheetData>
  <dataValidations count="4">
    <dataValidation sqref="C5:C7" showDropDown="0" showInputMessage="1" showErrorMessage="1" allowBlank="1" prompt="Введите действие в столбце B, начиная с ячейки B5_x000a_"/>
    <dataValidation sqref="F5:F7" showDropDown="0" showInputMessage="1" showErrorMessage="1" allowBlank="1" prompt="Введите фактическое начало периода в столбце E, начиная с ячейки E5"/>
    <dataValidation sqref="D5:E7 G5:J7" showDropDown="0" showInputMessage="1" showErrorMessage="1" allowBlank="1" prompt="Введите фактическую длительность периода в столбце F, начиная с ячейки F5"/>
    <dataValidation sqref="K5:L7" showDropDown="0" showInputMessage="1" showErrorMessage="1" allowBlank="1" prompt="Введите процент выполнения проекта в столбце G, начиная с ячейки G5"/>
  </dataValidations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 fitToPage="1"/>
  </sheetPr>
  <dimension ref="A1:BQ30"/>
  <sheetViews>
    <sheetView showGridLines="0" tabSelected="1" zoomScaleNormal="100" zoomScaleSheetLayoutView="80" workbookViewId="0">
      <selection activeCell="H30" sqref="H30"/>
    </sheetView>
  </sheetViews>
  <sheetFormatPr baseColWidth="8" defaultColWidth="2.75" defaultRowHeight="30" customHeight="1"/>
  <cols>
    <col width="2.625" customWidth="1" style="85" min="1" max="2"/>
    <col width="19.25" customWidth="1" style="85" min="3" max="6"/>
    <col width="15.625" customWidth="1" style="18" min="7" max="7"/>
    <col width="13.5" customWidth="1" style="18" min="8" max="8"/>
    <col width="23.75" customWidth="1" style="18" min="9" max="9"/>
    <col width="3.875" customWidth="1" style="18" min="10" max="29"/>
    <col width="3.875" customWidth="1" style="85" min="30" max="73"/>
  </cols>
  <sheetData>
    <row r="1" ht="60" customHeight="1" s="85" thickBot="1">
      <c r="C1" s="8" t="inlineStr">
        <is>
          <t>Планировщик проекта</t>
        </is>
      </c>
      <c r="D1" s="8" t="n"/>
      <c r="E1" s="8" t="n"/>
      <c r="F1" s="8" t="n"/>
      <c r="G1" s="7" t="n"/>
      <c r="H1" s="7" t="n"/>
      <c r="I1" s="7" t="n"/>
    </row>
    <row r="2" ht="21" customHeight="1" s="85" thickBot="1" thickTop="1">
      <c r="C2" s="64" t="inlineStr">
        <is>
          <t>Выберите период для выделения справа. Условные обозначения, описывающие диаграммы.</t>
        </is>
      </c>
      <c r="I2" s="36" t="inlineStr">
        <is>
          <t xml:space="preserve"> Рассматриваемый период:</t>
        </is>
      </c>
      <c r="J2" s="9" t="n">
        <v>60</v>
      </c>
      <c r="L2" s="10" t="n"/>
      <c r="M2" s="86" t="inlineStr">
        <is>
          <t>Длительность (план.)</t>
        </is>
      </c>
      <c r="Q2" s="87" t="n"/>
      <c r="R2" s="11" t="n"/>
      <c r="S2" s="86" t="inlineStr">
        <is>
          <t>Начало (факт.)</t>
        </is>
      </c>
      <c r="V2" s="87" t="n"/>
      <c r="W2" s="12" t="n"/>
      <c r="X2" s="88" t="inlineStr">
        <is>
          <t>% выполнения</t>
        </is>
      </c>
      <c r="AA2" s="87" t="n"/>
      <c r="AB2" s="13" t="n"/>
      <c r="AC2" s="88" t="inlineStr">
        <is>
          <t>Фактически (внепланово)</t>
        </is>
      </c>
      <c r="AI2" s="87" t="n"/>
      <c r="AJ2" s="14" t="n"/>
      <c r="AK2" s="76" t="inlineStr">
        <is>
          <t>% выполнения (внепланово)</t>
        </is>
      </c>
    </row>
    <row r="3" ht="39.95" customFormat="1" customHeight="1" s="6" thickTop="1">
      <c r="A3" s="39" t="n"/>
      <c r="B3" s="40" t="inlineStr">
        <is>
          <t>№</t>
        </is>
      </c>
      <c r="C3" s="65" t="inlineStr">
        <is>
          <t>ДЕЙСТВИЕ</t>
        </is>
      </c>
      <c r="D3" s="37">
        <f>'ТАБЛИЦА ДАННЫХ'!D5</f>
        <v/>
      </c>
      <c r="E3" s="37">
        <f>'ТАБЛИЦА ДАННЫХ'!E5</f>
        <v/>
      </c>
      <c r="F3" s="38" t="inlineStr">
        <is>
          <t>РЕЗЕРВ</t>
        </is>
      </c>
      <c r="G3" s="67" t="inlineStr">
        <is>
          <t>РАННЕЕ НАЧАЛО</t>
        </is>
      </c>
      <c r="H3" s="67" t="inlineStr">
        <is>
          <t>ДЛИТЕЛЬНОСТЬ</t>
        </is>
      </c>
      <c r="I3" s="69" t="inlineStr">
        <is>
          <t>КРИТИЧЕСКИЙ ПУТЬ</t>
        </is>
      </c>
      <c r="J3" s="15" t="inlineStr">
        <is>
          <t>ПЕРИОДЫ</t>
        </is>
      </c>
      <c r="K3" s="4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 ht="15.75" customHeight="1" s="85">
      <c r="A4" s="41" t="n"/>
      <c r="B4" s="42" t="n"/>
      <c r="C4" s="89" t="n"/>
      <c r="D4" s="66" t="n"/>
      <c r="E4" s="66" t="n"/>
      <c r="F4" s="66" t="n"/>
      <c r="G4" s="89" t="n"/>
      <c r="H4" s="89" t="n"/>
      <c r="I4" s="90" t="n"/>
      <c r="J4" s="2" t="n">
        <v>1</v>
      </c>
      <c r="K4" s="2" t="n">
        <v>2</v>
      </c>
      <c r="L4" s="2" t="n">
        <v>3</v>
      </c>
      <c r="M4" s="2" t="n">
        <v>4</v>
      </c>
      <c r="N4" s="2" t="n">
        <v>5</v>
      </c>
      <c r="O4" s="2" t="n">
        <v>6</v>
      </c>
      <c r="P4" s="2" t="n">
        <v>7</v>
      </c>
      <c r="Q4" s="2" t="n">
        <v>8</v>
      </c>
      <c r="R4" s="2" t="n">
        <v>9</v>
      </c>
      <c r="S4" s="2" t="n">
        <v>10</v>
      </c>
      <c r="T4" s="2" t="n">
        <v>11</v>
      </c>
      <c r="U4" s="2" t="n">
        <v>12</v>
      </c>
      <c r="V4" s="2" t="n">
        <v>13</v>
      </c>
      <c r="W4" s="2" t="n">
        <v>14</v>
      </c>
      <c r="X4" s="2" t="n">
        <v>15</v>
      </c>
      <c r="Y4" s="2" t="n">
        <v>16</v>
      </c>
      <c r="Z4" s="2" t="n">
        <v>17</v>
      </c>
      <c r="AA4" s="2" t="n">
        <v>18</v>
      </c>
      <c r="AB4" s="2" t="n">
        <v>19</v>
      </c>
      <c r="AC4" s="2" t="n">
        <v>20</v>
      </c>
      <c r="AD4" s="2" t="n">
        <v>21</v>
      </c>
      <c r="AE4" s="2" t="n">
        <v>22</v>
      </c>
      <c r="AF4" s="2" t="n">
        <v>23</v>
      </c>
      <c r="AG4" s="2" t="n">
        <v>24</v>
      </c>
      <c r="AH4" s="2" t="n">
        <v>25</v>
      </c>
      <c r="AI4" s="2" t="n">
        <v>26</v>
      </c>
      <c r="AJ4" s="2" t="n">
        <v>27</v>
      </c>
      <c r="AK4" s="2" t="n">
        <v>28</v>
      </c>
      <c r="AL4" s="2" t="n">
        <v>29</v>
      </c>
      <c r="AM4" s="2" t="n">
        <v>30</v>
      </c>
      <c r="AN4" s="2" t="n">
        <v>31</v>
      </c>
      <c r="AO4" s="2" t="n">
        <v>32</v>
      </c>
      <c r="AP4" s="2" t="n">
        <v>33</v>
      </c>
      <c r="AQ4" s="2" t="n">
        <v>34</v>
      </c>
      <c r="AR4" s="2" t="n">
        <v>35</v>
      </c>
      <c r="AS4" s="2" t="n">
        <v>36</v>
      </c>
      <c r="AT4" s="2" t="n">
        <v>37</v>
      </c>
      <c r="AU4" s="2" t="n">
        <v>38</v>
      </c>
      <c r="AV4" s="2" t="n">
        <v>39</v>
      </c>
      <c r="AW4" s="2" t="n">
        <v>40</v>
      </c>
      <c r="AX4" s="2" t="n">
        <v>41</v>
      </c>
      <c r="AY4" s="2" t="n">
        <v>42</v>
      </c>
      <c r="AZ4" s="2" t="n">
        <v>43</v>
      </c>
      <c r="BA4" s="2" t="n">
        <v>44</v>
      </c>
      <c r="BB4" s="2" t="n">
        <v>45</v>
      </c>
      <c r="BC4" s="2" t="n">
        <v>46</v>
      </c>
      <c r="BD4" s="2" t="n">
        <v>47</v>
      </c>
      <c r="BE4" s="2" t="n">
        <v>48</v>
      </c>
      <c r="BF4" s="2" t="n">
        <v>49</v>
      </c>
      <c r="BG4" s="2" t="n">
        <v>50</v>
      </c>
      <c r="BH4" s="2" t="n">
        <v>51</v>
      </c>
      <c r="BI4" s="2" t="n">
        <v>52</v>
      </c>
      <c r="BJ4" s="2" t="n">
        <v>53</v>
      </c>
      <c r="BK4" s="2" t="n">
        <v>54</v>
      </c>
      <c r="BL4" s="2" t="n">
        <v>55</v>
      </c>
      <c r="BM4" s="2" t="n">
        <v>56</v>
      </c>
      <c r="BN4" s="2" t="n">
        <v>57</v>
      </c>
      <c r="BO4" s="2" t="n">
        <v>58</v>
      </c>
      <c r="BP4" s="2" t="n">
        <v>59</v>
      </c>
      <c r="BQ4" s="2" t="n">
        <v>60</v>
      </c>
    </row>
    <row r="5" ht="30" customHeight="1" s="85">
      <c r="A5" s="44" t="n"/>
      <c r="B5" s="44" t="n">
        <v>1</v>
      </c>
      <c r="C5" s="30">
        <f>'ТАБЛИЦА ДАННЫХ'!C8</f>
        <v/>
      </c>
      <c r="D5" s="30">
        <f>'ТАБЛИЦА ДАННЫХ'!D8</f>
        <v/>
      </c>
      <c r="E5" s="30">
        <f>'ТАБЛИЦА ДАННЫХ'!E8</f>
        <v/>
      </c>
      <c r="F5" s="45">
        <f>'ТАБЛИЦА ДАННЫХ'!K8</f>
        <v/>
      </c>
      <c r="G5" s="31">
        <f>'ТАБЛИЦА ДАННЫХ'!F8</f>
        <v/>
      </c>
      <c r="H5" s="31">
        <f>'ТАБЛИЦА ДАННЫХ'!G8</f>
        <v/>
      </c>
      <c r="I5" s="32">
        <f>IF('ТАБЛИЦА ДАННЫХ'!L8="да",100%,0)</f>
        <v/>
      </c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9" t="n"/>
      <c r="BJ5" s="19" t="n"/>
      <c r="BK5" s="19" t="n"/>
      <c r="BL5" s="19" t="n"/>
      <c r="BM5" s="19" t="n"/>
      <c r="BN5" s="19" t="n"/>
      <c r="BO5" s="19" t="n"/>
      <c r="BP5" s="19" t="n"/>
      <c r="BQ5" s="19" t="n"/>
    </row>
    <row r="6" ht="30" customHeight="1" s="85">
      <c r="A6" s="44" t="n"/>
      <c r="B6" s="44" t="n">
        <v>2</v>
      </c>
      <c r="C6" s="30">
        <f>'ТАБЛИЦА ДАННЫХ'!C9</f>
        <v/>
      </c>
      <c r="D6" s="30">
        <f>'ТАБЛИЦА ДАННЫХ'!D9</f>
        <v/>
      </c>
      <c r="E6" s="30">
        <f>'ТАБЛИЦА ДАННЫХ'!E9</f>
        <v/>
      </c>
      <c r="F6" s="45">
        <f>'ТАБЛИЦА ДАННЫХ'!K9</f>
        <v/>
      </c>
      <c r="G6" s="31">
        <f>'ТАБЛИЦА ДАННЫХ'!F9</f>
        <v/>
      </c>
      <c r="H6" s="31">
        <f>'ТАБЛИЦА ДАННЫХ'!G9</f>
        <v/>
      </c>
      <c r="I6" s="32">
        <f>IF('ТАБЛИЦА ДАННЫХ'!L9="да",100%,0)</f>
        <v/>
      </c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s="19" t="n"/>
      <c r="BM6" s="19" t="n"/>
      <c r="BN6" s="19" t="n"/>
      <c r="BO6" s="19" t="n"/>
      <c r="BP6" s="19" t="n"/>
      <c r="BQ6" s="19" t="n"/>
    </row>
    <row r="7" ht="30" customHeight="1" s="85">
      <c r="A7" s="44" t="n"/>
      <c r="B7" s="44" t="n">
        <v>3</v>
      </c>
      <c r="C7" s="30">
        <f>'ТАБЛИЦА ДАННЫХ'!C10</f>
        <v/>
      </c>
      <c r="D7" s="30">
        <f>'ТАБЛИЦА ДАННЫХ'!D10</f>
        <v/>
      </c>
      <c r="E7" s="30">
        <f>'ТАБЛИЦА ДАННЫХ'!E10</f>
        <v/>
      </c>
      <c r="F7" s="45">
        <f>'ТАБЛИЦА ДАННЫХ'!K10</f>
        <v/>
      </c>
      <c r="G7" s="31">
        <f>'ТАБЛИЦА ДАННЫХ'!F10</f>
        <v/>
      </c>
      <c r="H7" s="31">
        <f>'ТАБЛИЦА ДАННЫХ'!G10</f>
        <v/>
      </c>
      <c r="I7" s="32">
        <f>IF('ТАБЛИЦА ДАННЫХ'!L10="да",100%,0)</f>
        <v/>
      </c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K7" s="19" t="n"/>
      <c r="BL7" s="19" t="n"/>
      <c r="BM7" s="19" t="n"/>
      <c r="BN7" s="19" t="n"/>
      <c r="BO7" s="19" t="n"/>
      <c r="BP7" s="19" t="n"/>
      <c r="BQ7" s="19" t="n"/>
    </row>
    <row r="8" ht="30" customHeight="1" s="85">
      <c r="A8" s="44" t="n"/>
      <c r="B8" s="44" t="n">
        <v>4</v>
      </c>
      <c r="C8" s="30">
        <f>'ТАБЛИЦА ДАННЫХ'!C11</f>
        <v/>
      </c>
      <c r="D8" s="30">
        <f>'ТАБЛИЦА ДАННЫХ'!D11</f>
        <v/>
      </c>
      <c r="E8" s="30">
        <f>'ТАБЛИЦА ДАННЫХ'!E11</f>
        <v/>
      </c>
      <c r="F8" s="45">
        <f>'ТАБЛИЦА ДАННЫХ'!K11</f>
        <v/>
      </c>
      <c r="G8" s="31">
        <f>'ТАБЛИЦА ДАННЫХ'!F11</f>
        <v/>
      </c>
      <c r="H8" s="31">
        <f>'ТАБЛИЦА ДАННЫХ'!G11</f>
        <v/>
      </c>
      <c r="I8" s="32">
        <f>IF('ТАБЛИЦА ДАННЫХ'!L11="да",100%,0)</f>
        <v/>
      </c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</row>
    <row r="9" ht="30" customHeight="1" s="85">
      <c r="A9" s="44" t="n"/>
      <c r="B9" s="44" t="n">
        <v>5</v>
      </c>
      <c r="C9" s="30">
        <f>'ТАБЛИЦА ДАННЫХ'!C12</f>
        <v/>
      </c>
      <c r="D9" s="30">
        <f>'ТАБЛИЦА ДАННЫХ'!D12</f>
        <v/>
      </c>
      <c r="E9" s="30">
        <f>'ТАБЛИЦА ДАННЫХ'!E12</f>
        <v/>
      </c>
      <c r="F9" s="45">
        <f>'ТАБЛИЦА ДАННЫХ'!K12</f>
        <v/>
      </c>
      <c r="G9" s="31">
        <f>'ТАБЛИЦА ДАННЫХ'!F12</f>
        <v/>
      </c>
      <c r="H9" s="31">
        <f>'ТАБЛИЦА ДАННЫХ'!G12</f>
        <v/>
      </c>
      <c r="I9" s="32">
        <f>IF('ТАБЛИЦА ДАННЫХ'!L12="да",100%,0)</f>
        <v/>
      </c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</row>
    <row r="10" ht="30" customHeight="1" s="85">
      <c r="A10" s="44" t="n"/>
      <c r="B10" s="44" t="n">
        <v>6</v>
      </c>
      <c r="C10" s="30">
        <f>'ТАБЛИЦА ДАННЫХ'!C13</f>
        <v/>
      </c>
      <c r="D10" s="30">
        <f>'ТАБЛИЦА ДАННЫХ'!D13</f>
        <v/>
      </c>
      <c r="E10" s="30">
        <f>'ТАБЛИЦА ДАННЫХ'!E13</f>
        <v/>
      </c>
      <c r="F10" s="45">
        <f>'ТАБЛИЦА ДАННЫХ'!K13</f>
        <v/>
      </c>
      <c r="G10" s="31">
        <f>'ТАБЛИЦА ДАННЫХ'!F13</f>
        <v/>
      </c>
      <c r="H10" s="31">
        <f>'ТАБЛИЦА ДАННЫХ'!G13</f>
        <v/>
      </c>
      <c r="I10" s="32">
        <f>IF('ТАБЛИЦА ДАННЫХ'!L13="да",100%,0)</f>
        <v/>
      </c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</row>
    <row r="11" ht="30" customHeight="1" s="85">
      <c r="A11" s="44" t="n"/>
      <c r="B11" s="44" t="n">
        <v>7</v>
      </c>
      <c r="C11" s="30">
        <f>'ТАБЛИЦА ДАННЫХ'!C14</f>
        <v/>
      </c>
      <c r="D11" s="30">
        <f>'ТАБЛИЦА ДАННЫХ'!D14</f>
        <v/>
      </c>
      <c r="E11" s="30">
        <f>'ТАБЛИЦА ДАННЫХ'!E14</f>
        <v/>
      </c>
      <c r="F11" s="45">
        <f>'ТАБЛИЦА ДАННЫХ'!K14</f>
        <v/>
      </c>
      <c r="G11" s="31">
        <f>'ТАБЛИЦА ДАННЫХ'!F14</f>
        <v/>
      </c>
      <c r="H11" s="31">
        <f>'ТАБЛИЦА ДАННЫХ'!G14</f>
        <v/>
      </c>
      <c r="I11" s="32">
        <f>IF('ТАБЛИЦА ДАННЫХ'!L14="да",100%,0)</f>
        <v/>
      </c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19" t="n"/>
      <c r="BL11" s="19" t="n"/>
      <c r="BM11" s="19" t="n"/>
      <c r="BN11" s="19" t="n"/>
      <c r="BO11" s="19" t="n"/>
      <c r="BP11" s="19" t="n"/>
      <c r="BQ11" s="19" t="n"/>
    </row>
    <row r="12" ht="30" customHeight="1" s="85">
      <c r="A12" s="44" t="n"/>
      <c r="B12" s="44" t="n">
        <v>8</v>
      </c>
      <c r="C12" s="30">
        <f>'ТАБЛИЦА ДАННЫХ'!C15</f>
        <v/>
      </c>
      <c r="D12" s="30">
        <f>'ТАБЛИЦА ДАННЫХ'!D15</f>
        <v/>
      </c>
      <c r="E12" s="30">
        <f>'ТАБЛИЦА ДАННЫХ'!E15</f>
        <v/>
      </c>
      <c r="F12" s="45">
        <f>'ТАБЛИЦА ДАННЫХ'!K15</f>
        <v/>
      </c>
      <c r="G12" s="31">
        <f>'ТАБЛИЦА ДАННЫХ'!F15</f>
        <v/>
      </c>
      <c r="H12" s="31">
        <f>'ТАБЛИЦА ДАННЫХ'!G15</f>
        <v/>
      </c>
      <c r="I12" s="32">
        <f>IF('ТАБЛИЦА ДАННЫХ'!L15="да",100%,0)</f>
        <v/>
      </c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</row>
    <row r="13" ht="30" customHeight="1" s="85">
      <c r="A13" s="44" t="n"/>
      <c r="B13" s="44" t="n">
        <v>9</v>
      </c>
      <c r="C13" s="30">
        <f>'ТАБЛИЦА ДАННЫХ'!C16</f>
        <v/>
      </c>
      <c r="D13" s="30">
        <f>'ТАБЛИЦА ДАННЫХ'!D16</f>
        <v/>
      </c>
      <c r="E13" s="30">
        <f>'ТАБЛИЦА ДАННЫХ'!E16</f>
        <v/>
      </c>
      <c r="F13" s="45">
        <f>'ТАБЛИЦА ДАННЫХ'!K16</f>
        <v/>
      </c>
      <c r="G13" s="31">
        <f>'ТАБЛИЦА ДАННЫХ'!F16</f>
        <v/>
      </c>
      <c r="H13" s="31">
        <f>'ТАБЛИЦА ДАННЫХ'!G16</f>
        <v/>
      </c>
      <c r="I13" s="32">
        <f>IF('ТАБЛИЦА ДАННЫХ'!L16="да",100%,0)</f>
        <v/>
      </c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</row>
    <row r="14" ht="30" customHeight="1" s="85">
      <c r="A14" s="44" t="n"/>
      <c r="B14" s="44" t="n">
        <v>10</v>
      </c>
      <c r="C14" s="30">
        <f>'ТАБЛИЦА ДАННЫХ'!C17</f>
        <v/>
      </c>
      <c r="D14" s="30">
        <f>'ТАБЛИЦА ДАННЫХ'!D17</f>
        <v/>
      </c>
      <c r="E14" s="30">
        <f>'ТАБЛИЦА ДАННЫХ'!E17</f>
        <v/>
      </c>
      <c r="F14" s="45">
        <f>'ТАБЛИЦА ДАННЫХ'!K17</f>
        <v/>
      </c>
      <c r="G14" s="31">
        <f>'ТАБЛИЦА ДАННЫХ'!F17</f>
        <v/>
      </c>
      <c r="H14" s="31">
        <f>'ТАБЛИЦА ДАННЫХ'!G17</f>
        <v/>
      </c>
      <c r="I14" s="32">
        <f>IF('ТАБЛИЦА ДАННЫХ'!L17="да",100%,0)</f>
        <v/>
      </c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</row>
    <row r="15" ht="30" customHeight="1" s="85">
      <c r="B15" s="44" t="n">
        <v>11</v>
      </c>
      <c r="C15" s="30">
        <f>'ТАБЛИЦА ДАННЫХ'!C18</f>
        <v/>
      </c>
      <c r="D15" s="30">
        <f>'ТАБЛИЦА ДАННЫХ'!D18</f>
        <v/>
      </c>
      <c r="E15" s="30">
        <f>'ТАБЛИЦА ДАННЫХ'!E18</f>
        <v/>
      </c>
      <c r="F15" s="45">
        <f>'ТАБЛИЦА ДАННЫХ'!K18</f>
        <v/>
      </c>
      <c r="G15" s="31">
        <f>'ТАБЛИЦА ДАННЫХ'!F18</f>
        <v/>
      </c>
      <c r="H15" s="31">
        <f>'ТАБЛИЦА ДАННЫХ'!G18</f>
        <v/>
      </c>
      <c r="I15" s="32">
        <f>IF('ТАБЛИЦА ДАННЫХ'!L18="да",100%,0)</f>
        <v/>
      </c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</row>
    <row r="16" ht="30" customHeight="1" s="85">
      <c r="B16" s="44" t="n">
        <v>12</v>
      </c>
      <c r="C16" s="30">
        <f>'ТАБЛИЦА ДАННЫХ'!C19</f>
        <v/>
      </c>
      <c r="D16" s="30">
        <f>'ТАБЛИЦА ДАННЫХ'!D19</f>
        <v/>
      </c>
      <c r="E16" s="30">
        <f>'ТАБЛИЦА ДАННЫХ'!E19</f>
        <v/>
      </c>
      <c r="F16" s="45">
        <f>'ТАБЛИЦА ДАННЫХ'!K19</f>
        <v/>
      </c>
      <c r="G16" s="31">
        <f>'ТАБЛИЦА ДАННЫХ'!F19</f>
        <v/>
      </c>
      <c r="H16" s="31">
        <f>'ТАБЛИЦА ДАННЫХ'!G19</f>
        <v/>
      </c>
      <c r="I16" s="32">
        <f>IF('ТАБЛИЦА ДАННЫХ'!L19="да",100%,0)</f>
        <v/>
      </c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</row>
    <row r="17" ht="30" customHeight="1" s="85">
      <c r="B17" s="44" t="n">
        <v>13</v>
      </c>
      <c r="C17" s="30">
        <f>'ТАБЛИЦА ДАННЫХ'!C20</f>
        <v/>
      </c>
      <c r="D17" s="30">
        <f>'ТАБЛИЦА ДАННЫХ'!D20</f>
        <v/>
      </c>
      <c r="E17" s="30">
        <f>'ТАБЛИЦА ДАННЫХ'!E20</f>
        <v/>
      </c>
      <c r="F17" s="45">
        <f>'ТАБЛИЦА ДАННЫХ'!K20</f>
        <v/>
      </c>
      <c r="G17" s="31">
        <f>'ТАБЛИЦА ДАННЫХ'!F20</f>
        <v/>
      </c>
      <c r="H17" s="31">
        <f>'ТАБЛИЦА ДАННЫХ'!G20</f>
        <v/>
      </c>
      <c r="I17" s="32">
        <f>IF('ТАБЛИЦА ДАННЫХ'!L20="да",100%,0)</f>
        <v/>
      </c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</row>
    <row r="18" ht="30" customHeight="1" s="85">
      <c r="B18" s="44" t="n">
        <v>14</v>
      </c>
      <c r="C18" s="30">
        <f>'ТАБЛИЦА ДАННЫХ'!C21</f>
        <v/>
      </c>
      <c r="D18" s="30">
        <f>'ТАБЛИЦА ДАННЫХ'!D21</f>
        <v/>
      </c>
      <c r="E18" s="30">
        <f>'ТАБЛИЦА ДАННЫХ'!E21</f>
        <v/>
      </c>
      <c r="F18" s="45">
        <f>'ТАБЛИЦА ДАННЫХ'!K21</f>
        <v/>
      </c>
      <c r="G18" s="31">
        <f>'ТАБЛИЦА ДАННЫХ'!F21</f>
        <v/>
      </c>
      <c r="H18" s="31">
        <f>'ТАБЛИЦА ДАННЫХ'!G21</f>
        <v/>
      </c>
      <c r="I18" s="32">
        <f>IF('ТАБЛИЦА ДАННЫХ'!L21="да",100%,0)</f>
        <v/>
      </c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</row>
    <row r="19" ht="30" customHeight="1" s="85">
      <c r="B19" s="44" t="n">
        <v>15</v>
      </c>
      <c r="C19" s="30">
        <f>'ТАБЛИЦА ДАННЫХ'!C22</f>
        <v/>
      </c>
      <c r="D19" s="30">
        <f>'ТАБЛИЦА ДАННЫХ'!D22</f>
        <v/>
      </c>
      <c r="E19" s="30">
        <f>'ТАБЛИЦА ДАННЫХ'!E22</f>
        <v/>
      </c>
      <c r="F19" s="45">
        <f>'ТАБЛИЦА ДАННЫХ'!K22</f>
        <v/>
      </c>
      <c r="G19" s="31">
        <f>'ТАБЛИЦА ДАННЫХ'!F22</f>
        <v/>
      </c>
      <c r="H19" s="31">
        <f>'ТАБЛИЦА ДАННЫХ'!G22</f>
        <v/>
      </c>
      <c r="I19" s="32">
        <f>IF('ТАБЛИЦА ДАННЫХ'!L22="да",100%,0)</f>
        <v/>
      </c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</row>
    <row r="20" ht="30" customHeight="1" s="85">
      <c r="B20" s="44" t="n">
        <v>16</v>
      </c>
      <c r="C20" s="30">
        <f>'ТАБЛИЦА ДАННЫХ'!C23</f>
        <v/>
      </c>
      <c r="D20" s="30">
        <f>'ТАБЛИЦА ДАННЫХ'!D23</f>
        <v/>
      </c>
      <c r="E20" s="30">
        <f>'ТАБЛИЦА ДАННЫХ'!E23</f>
        <v/>
      </c>
      <c r="F20" s="45">
        <f>'ТАБЛИЦА ДАННЫХ'!K23</f>
        <v/>
      </c>
      <c r="G20" s="31">
        <f>'ТАБЛИЦА ДАННЫХ'!F23</f>
        <v/>
      </c>
      <c r="H20" s="31">
        <f>'ТАБЛИЦА ДАННЫХ'!G23</f>
        <v/>
      </c>
      <c r="I20" s="32">
        <f>IF('ТАБЛИЦА ДАННЫХ'!L23="да",100%,0)</f>
        <v/>
      </c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</row>
    <row r="21" ht="30" customHeight="1" s="85">
      <c r="B21" s="44" t="n">
        <v>17</v>
      </c>
      <c r="C21" s="30">
        <f>'ТАБЛИЦА ДАННЫХ'!C24</f>
        <v/>
      </c>
      <c r="D21" s="30">
        <f>'ТАБЛИЦА ДАННЫХ'!D24</f>
        <v/>
      </c>
      <c r="E21" s="30">
        <f>'ТАБЛИЦА ДАННЫХ'!E24</f>
        <v/>
      </c>
      <c r="F21" s="45">
        <f>'ТАБЛИЦА ДАННЫХ'!K24</f>
        <v/>
      </c>
      <c r="G21" s="31">
        <f>'ТАБЛИЦА ДАННЫХ'!F24</f>
        <v/>
      </c>
      <c r="H21" s="31">
        <f>'ТАБЛИЦА ДАННЫХ'!G24</f>
        <v/>
      </c>
      <c r="I21" s="32">
        <f>IF('ТАБЛИЦА ДАННЫХ'!L24="да",100%,0)</f>
        <v/>
      </c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K21" s="19" t="n"/>
      <c r="BL21" s="19" t="n"/>
      <c r="BM21" s="19" t="n"/>
      <c r="BN21" s="19" t="n"/>
      <c r="BO21" s="19" t="n"/>
      <c r="BP21" s="19" t="n"/>
      <c r="BQ21" s="19" t="n"/>
    </row>
    <row r="22" ht="30" customHeight="1" s="85">
      <c r="B22" s="44" t="n">
        <v>18</v>
      </c>
      <c r="C22" s="30">
        <f>'ТАБЛИЦА ДАННЫХ'!C25</f>
        <v/>
      </c>
      <c r="D22" s="30">
        <f>'ТАБЛИЦА ДАННЫХ'!D25</f>
        <v/>
      </c>
      <c r="E22" s="30">
        <f>'ТАБЛИЦА ДАННЫХ'!E25</f>
        <v/>
      </c>
      <c r="F22" s="45">
        <f>'ТАБЛИЦА ДАННЫХ'!K25</f>
        <v/>
      </c>
      <c r="G22" s="31">
        <f>'ТАБЛИЦА ДАННЫХ'!F25</f>
        <v/>
      </c>
      <c r="H22" s="31">
        <f>'ТАБЛИЦА ДАННЫХ'!G25</f>
        <v/>
      </c>
      <c r="I22" s="32">
        <f>IF('ТАБЛИЦА ДАННЫХ'!L25="да",100%,0)</f>
        <v/>
      </c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</row>
    <row r="23" ht="30" customHeight="1" s="85">
      <c r="B23" s="44" t="n">
        <v>19</v>
      </c>
      <c r="C23" s="30">
        <f>'ТАБЛИЦА ДАННЫХ'!C26</f>
        <v/>
      </c>
      <c r="D23" s="30">
        <f>'ТАБЛИЦА ДАННЫХ'!D26</f>
        <v/>
      </c>
      <c r="E23" s="30">
        <f>'ТАБЛИЦА ДАННЫХ'!E26</f>
        <v/>
      </c>
      <c r="F23" s="45">
        <f>'ТАБЛИЦА ДАННЫХ'!K26</f>
        <v/>
      </c>
      <c r="G23" s="31">
        <f>'ТАБЛИЦА ДАННЫХ'!F26</f>
        <v/>
      </c>
      <c r="H23" s="31">
        <f>'ТАБЛИЦА ДАННЫХ'!G26</f>
        <v/>
      </c>
      <c r="I23" s="32">
        <f>IF('ТАБЛИЦА ДАННЫХ'!L26="да",100%,0)</f>
        <v/>
      </c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</row>
    <row r="24" ht="30" customHeight="1" s="85">
      <c r="B24" s="44" t="n">
        <v>20</v>
      </c>
      <c r="C24" s="30">
        <f>'ТАБЛИЦА ДАННЫХ'!C27</f>
        <v/>
      </c>
      <c r="D24" s="30">
        <f>'ТАБЛИЦА ДАННЫХ'!D27</f>
        <v/>
      </c>
      <c r="E24" s="30">
        <f>'ТАБЛИЦА ДАННЫХ'!E27</f>
        <v/>
      </c>
      <c r="F24" s="45">
        <f>'ТАБЛИЦА ДАННЫХ'!K27</f>
        <v/>
      </c>
      <c r="G24" s="31">
        <f>'ТАБЛИЦА ДАННЫХ'!F27</f>
        <v/>
      </c>
      <c r="H24" s="31">
        <f>'ТАБЛИЦА ДАННЫХ'!G27</f>
        <v/>
      </c>
      <c r="I24" s="32">
        <f>IF('ТАБЛИЦА ДАННЫХ'!L27="да",100%,0)</f>
        <v/>
      </c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30" customHeight="1" s="85">
      <c r="B25" s="44" t="n">
        <v>21</v>
      </c>
      <c r="C25" s="30">
        <f>'ТАБЛИЦА ДАННЫХ'!C28</f>
        <v/>
      </c>
      <c r="D25" s="30">
        <f>'ТАБЛИЦА ДАННЫХ'!D28</f>
        <v/>
      </c>
      <c r="E25" s="30">
        <f>'ТАБЛИЦА ДАННЫХ'!E28</f>
        <v/>
      </c>
      <c r="F25" s="45">
        <f>'ТАБЛИЦА ДАННЫХ'!K28</f>
        <v/>
      </c>
      <c r="G25" s="31">
        <f>'ТАБЛИЦА ДАННЫХ'!F28</f>
        <v/>
      </c>
      <c r="H25" s="31">
        <f>'ТАБЛИЦА ДАННЫХ'!G28</f>
        <v/>
      </c>
      <c r="I25" s="32">
        <f>IF('ТАБЛИЦА ДАННЫХ'!L28="да",100%,0)</f>
        <v/>
      </c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</row>
    <row r="26" ht="30" customHeight="1" s="85">
      <c r="B26" s="44" t="n">
        <v>22</v>
      </c>
      <c r="C26" s="30">
        <f>'ТАБЛИЦА ДАННЫХ'!C29</f>
        <v/>
      </c>
      <c r="D26" s="30">
        <f>'ТАБЛИЦА ДАННЫХ'!D29</f>
        <v/>
      </c>
      <c r="E26" s="30">
        <f>'ТАБЛИЦА ДАННЫХ'!E29</f>
        <v/>
      </c>
      <c r="F26" s="45">
        <f>'ТАБЛИЦА ДАННЫХ'!K29</f>
        <v/>
      </c>
      <c r="G26" s="31">
        <f>'ТАБЛИЦА ДАННЫХ'!F29</f>
        <v/>
      </c>
      <c r="H26" s="31">
        <f>'ТАБЛИЦА ДАННЫХ'!G29</f>
        <v/>
      </c>
      <c r="I26" s="32">
        <f>IF('ТАБЛИЦА ДАННЫХ'!L29="да",100%,0)</f>
        <v/>
      </c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</row>
    <row r="27" ht="30" customHeight="1" s="85">
      <c r="B27" s="44" t="n">
        <v>23</v>
      </c>
      <c r="C27" s="30">
        <f>'ТАБЛИЦА ДАННЫХ'!C30</f>
        <v/>
      </c>
      <c r="D27" s="30">
        <f>'ТАБЛИЦА ДАННЫХ'!D30</f>
        <v/>
      </c>
      <c r="E27" s="30">
        <f>'ТАБЛИЦА ДАННЫХ'!E30</f>
        <v/>
      </c>
      <c r="F27" s="45">
        <f>'ТАБЛИЦА ДАННЫХ'!K30</f>
        <v/>
      </c>
      <c r="G27" s="31">
        <f>'ТАБЛИЦА ДАННЫХ'!F30</f>
        <v/>
      </c>
      <c r="H27" s="31">
        <f>'ТАБЛИЦА ДАННЫХ'!G30</f>
        <v/>
      </c>
      <c r="I27" s="32">
        <f>IF('ТАБЛИЦА ДАННЫХ'!L30="да",100%,0)</f>
        <v/>
      </c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</row>
    <row r="28" ht="30" customHeight="1" s="85">
      <c r="B28" s="44" t="n">
        <v>24</v>
      </c>
      <c r="C28" s="30">
        <f>'ТАБЛИЦА ДАННЫХ'!C31</f>
        <v/>
      </c>
      <c r="D28" s="30">
        <f>'ТАБЛИЦА ДАННЫХ'!D31</f>
        <v/>
      </c>
      <c r="E28" s="30">
        <f>'ТАБЛИЦА ДАННЫХ'!E31</f>
        <v/>
      </c>
      <c r="F28" s="45">
        <f>'ТАБЛИЦА ДАННЫХ'!K31</f>
        <v/>
      </c>
      <c r="G28" s="31">
        <f>'ТАБЛИЦА ДАННЫХ'!F31</f>
        <v/>
      </c>
      <c r="H28" s="31">
        <f>'ТАБЛИЦА ДАННЫХ'!G31</f>
        <v/>
      </c>
      <c r="I28" s="32">
        <f>IF('ТАБЛИЦА ДАННЫХ'!L31="да",100%,0)</f>
        <v/>
      </c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  <c r="BK28" s="19" t="n"/>
      <c r="BL28" s="19" t="n"/>
      <c r="BM28" s="19" t="n"/>
      <c r="BN28" s="19" t="n"/>
      <c r="BO28" s="19" t="n"/>
      <c r="BP28" s="19" t="n"/>
      <c r="BQ28" s="19" t="n"/>
    </row>
    <row r="29" ht="30" customHeight="1" s="85">
      <c r="B29" s="44" t="n">
        <v>25</v>
      </c>
      <c r="C29" s="30">
        <f>'ТАБЛИЦА ДАННЫХ'!C32</f>
        <v/>
      </c>
      <c r="D29" s="30">
        <f>'ТАБЛИЦА ДАННЫХ'!D32</f>
        <v/>
      </c>
      <c r="E29" s="30">
        <f>'ТАБЛИЦА ДАННЫХ'!E32</f>
        <v/>
      </c>
      <c r="F29" s="45">
        <f>'ТАБЛИЦА ДАННЫХ'!K32</f>
        <v/>
      </c>
      <c r="G29" s="31">
        <f>'ТАБЛИЦА ДАННЫХ'!F32</f>
        <v/>
      </c>
      <c r="H29" s="31">
        <f>'ТАБЛИЦА ДАННЫХ'!G32</f>
        <v/>
      </c>
      <c r="I29" s="32">
        <f>IF('ТАБЛИЦА ДАННЫХ'!L32="да",100%,0)</f>
        <v/>
      </c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</row>
    <row r="30" ht="30" customHeight="1" s="85">
      <c r="C30" s="16" t="n"/>
      <c r="D30" s="16" t="n"/>
      <c r="E30" s="16" t="n"/>
      <c r="F30" s="16" t="n"/>
      <c r="G30" s="17" t="n"/>
      <c r="H30" s="17" t="n"/>
      <c r="I30" s="3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9" t="n"/>
    </row>
  </sheetData>
  <mergeCells count="10">
    <mergeCell ref="C2:H2"/>
    <mergeCell ref="M2:Q2"/>
    <mergeCell ref="C3:C4"/>
    <mergeCell ref="G3:G4"/>
    <mergeCell ref="S2:V2"/>
    <mergeCell ref="H3:H4"/>
    <mergeCell ref="I3:I4"/>
    <mergeCell ref="AK2:AR2"/>
    <mergeCell ref="X2:AA2"/>
    <mergeCell ref="AC2:AI2"/>
  </mergeCells>
  <conditionalFormatting sqref="J5:BQ30">
    <cfRule type="expression" priority="1" dxfId="9">
      <formula>ПроцентВыполнения</formula>
    </cfRule>
    <cfRule type="expression" priority="3" dxfId="8">
      <formula>ПроцентВыполненияВнеплан</formula>
    </cfRule>
    <cfRule type="expression" priority="4" dxfId="7">
      <formula>ФактическиеЗначения</formula>
    </cfRule>
    <cfRule type="expression" priority="5" dxfId="6">
      <formula>ФактВнеплан</formula>
    </cfRule>
    <cfRule type="expression" priority="6" dxfId="5">
      <formula>План</formula>
    </cfRule>
    <cfRule type="expression" priority="7" dxfId="4">
      <formula>J$4=выбранный_период</formula>
    </cfRule>
    <cfRule type="expression" priority="11" dxfId="3">
      <formula>MOD(COLUMN(),2)</formula>
    </cfRule>
    <cfRule type="expression" priority="12" dxfId="2">
      <formula>MOD(COLUMN(),2)=0</formula>
    </cfRule>
  </conditionalFormatting>
  <conditionalFormatting sqref="C31:BQ31">
    <cfRule type="expression" priority="2" dxfId="1">
      <formula>TRUE</formula>
    </cfRule>
  </conditionalFormatting>
  <conditionalFormatting sqref="J4:BQ4">
    <cfRule type="expression" priority="8" dxfId="0">
      <formula>J$4=выбранный_период</formula>
    </cfRule>
  </conditionalFormatting>
  <dataValidations count="14">
    <dataValidation sqref="A1:B1" showDropDown="0" showInputMessage="1" showErrorMessage="1" allowBlank="1" prompt="Планировщик проекта использует периоды для интервалов. Начало=1 соответствует периоду 1, а длительность=5 означает, что проект охватывает 5 периодов, начиная с начального периода. Введите данные, начиная с ячейки B5, чтобы обновить диаграмму"/>
    <dataValidation sqref="J2" showDropDown="0" showInputMessage="1" showErrorMessage="1" allowBlank="1" error="Введите значение от 1 до 60 или выберите период из списка — нажмите &quot;ОТМЕНА&quot;, ALT+СТРЕЛКА ВНИЗ и ВВОД, чтобы выбрать значение" prompt="Введите период в диапазоне от 1 до 60 или выберите период в списке. Нажмите клавиши ALT+СТРЕЛКА ВНИЗ, чтобы открыть список, а затем — клавишу ВВОД, чтобы выбрать значение" type="list" errorStyle="warning">
      <formula1>"1,2,3,4,5,6,7,8,9,10,11,12,13,14,15,16,17,18,19,20,21,22,23,24,25,26,27,28,29,30,31,32,33,34,35,36,37,38,39,40,41,42,43,44,45,46,47,48,49,50,51,52,53,54,55,56,57,58,59,60"</formula1>
    </dataValidation>
    <dataValidation sqref="L2" showDropDown="0" showInputMessage="1" showErrorMessage="1" allowBlank="1" prompt="Эта ячейка условных обозначений показывает плановую длительность"/>
    <dataValidation sqref="R2" showDropDown="0" showInputMessage="1" showErrorMessage="1" allowBlank="1" prompt="Эта ячейка условных обозначений показывает фактическую длительность"/>
    <dataValidation sqref="W2" showDropDown="0" showInputMessage="1" showErrorMessage="1" allowBlank="1" prompt="Эта ячейка условных обозначений показывает процент выполнения проекта"/>
    <dataValidation sqref="AB2" showDropDown="0" showInputMessage="1" showErrorMessage="1" allowBlank="1" prompt="Эта ячейка условных обозначений показывает фактическую внеплановую длительность"/>
    <dataValidation sqref="AJ2" showDropDown="0" showInputMessage="1" showErrorMessage="1" allowBlank="1" prompt="Эта ячейка условных обозначений показывает внеплановый процент выполнения проекта"/>
    <dataValidation sqref="J3" showDropDown="0" showInputMessage="1" showErrorMessage="1" allowBlank="1" prompt="Периоды разделены на участки от 1 до 60, начиная с ячейки H4 и до ячейки BO4 "/>
    <dataValidation sqref="C3:F4" showDropDown="0" showInputMessage="1" showErrorMessage="1" allowBlank="1" prompt="Введите действие в столбце B, начиная с ячейки B5_x000a_"/>
    <dataValidation sqref="G3:G4" showDropDown="0" showInputMessage="1" showErrorMessage="1" allowBlank="1" prompt="Введите фактическое начало периода в столбце E, начиная с ячейки E5"/>
    <dataValidation sqref="H3:H4" showDropDown="0" showInputMessage="1" showErrorMessage="1" allowBlank="1" prompt="Введите фактическую длительность периода в столбце F, начиная с ячейки F5"/>
    <dataValidation sqref="I3:I4" showDropDown="0" showInputMessage="1" showErrorMessage="1" allowBlank="1" prompt="Введите процент выполнения проекта в столбце G, начиная с ячейки G5"/>
    <dataValidation sqref="C1:F1" showDropDown="0" showInputMessage="1" showErrorMessage="1" allowBlank="1" prompt="Название проекта. Введите новое название в этой ячейке. Выделите период в ячейке H2. Условные обозначения диаграммы приведены в ячейках от J2 до AI2"/>
    <dataValidation sqref="C2:H2" showDropDown="0" showInputMessage="1" showErrorMessage="1" allowBlank="1" prompt="Выберите период для выделения в ячейке H2. Условные обозначения диаграммы приведены в ячейках от J2 до AI2"/>
  </dataValidations>
  <printOptions horizontalCentered="1"/>
  <pageMargins left="0.45" right="0.45" top="0.5" bottom="0.5" header="0.3" footer="0.3"/>
  <pageSetup orientation="landscape" paperSize="9" scale="54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2019-07-05T13:38:32Z</dcterms:created>
  <dcterms:modified xmlns:dcterms="http://purl.org/dc/terms/" xmlns:xsi="http://www.w3.org/2001/XMLSchema-instance" xsi:type="dcterms:W3CDTF">2026-09-25T19:03:25Z</dcterms:modified>
</cp:coreProperties>
</file>