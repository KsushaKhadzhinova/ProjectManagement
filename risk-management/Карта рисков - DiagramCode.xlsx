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 lockStructure="1" workbookAlgorithmName="SHA-512" workbookHashValue="9BSvA8ngIgRbPGpWQYu5c6jXc2vUrBmIIbqdW5FKPKGkzFmbCuUi/d+R6oxi8fpq/L9oObBRRCOKuw2SEVGVJA==" workbookSaltValue="6v36ypmqVNgk/okiC8jG3Q==" workbookSpinCount="100000"/>
  <bookViews>
    <workbookView visibility="visible" minimized="0" showHorizontalScroll="1" showVerticalScroll="1" showSheetTabs="1" xWindow="0" yWindow="0" windowWidth="19200" windowHeight="6940" tabRatio="600" firstSheet="0" activeTab="1" autoFilterDateGrouping="1"/>
  </bookViews>
  <sheets>
    <sheet xmlns:r="http://schemas.openxmlformats.org/officeDocument/2006/relationships" name="Приветствие" sheetId="1" state="visible" r:id="rId1"/>
    <sheet xmlns:r="http://schemas.openxmlformats.org/officeDocument/2006/relationships" name="Таблица с рисками" sheetId="2" state="visible" r:id="rId2"/>
    <sheet xmlns:r="http://schemas.openxmlformats.org/officeDocument/2006/relationships" name="Карта рисков" sheetId="3" state="visible" r:id="rId3"/>
  </sheets>
  <definedNames/>
  <calcPr calcId="179021" fullCalcOnLoad="1" refMode="R1C1"/>
</workbook>
</file>

<file path=xl/styles.xml><?xml version="1.0" encoding="utf-8"?>
<styleSheet xmlns="http://schemas.openxmlformats.org/spreadsheetml/2006/main">
  <numFmts count="0"/>
  <fonts count="25">
    <font>
      <name val="Calibri"/>
      <color theme="1"/>
      <sz val="11"/>
      <scheme val="minor"/>
    </font>
    <font>
      <name val="Calibri"/>
      <charset val="204"/>
      <family val="2"/>
      <color theme="10"/>
      <sz val="11"/>
      <u val="single"/>
      <scheme val="minor"/>
    </font>
    <font>
      <name val="Calibri"/>
      <charset val="204"/>
      <family val="2"/>
      <b val="1"/>
      <color theme="1"/>
      <sz val="20"/>
      <scheme val="minor"/>
    </font>
    <font>
      <name val="Calibri"/>
      <charset val="204"/>
      <family val="2"/>
      <b val="1"/>
      <color theme="1"/>
      <sz val="11"/>
      <scheme val="minor"/>
    </font>
    <font>
      <name val="Calibri"/>
      <charset val="204"/>
      <family val="2"/>
      <color theme="1"/>
      <sz val="20"/>
      <scheme val="minor"/>
    </font>
    <font>
      <name val="Calibri"/>
      <charset val="204"/>
      <family val="2"/>
      <color theme="10"/>
      <sz val="28"/>
      <u val="single"/>
      <scheme val="minor"/>
    </font>
    <font>
      <name val="Calibri Light"/>
      <charset val="204"/>
      <family val="2"/>
      <color theme="1"/>
      <sz val="11"/>
      <scheme val="major"/>
    </font>
    <font>
      <name val="Calibri Light"/>
      <charset val="204"/>
      <family val="2"/>
      <color theme="1"/>
      <sz val="12"/>
      <scheme val="major"/>
    </font>
    <font>
      <name val="Calibri Light"/>
      <charset val="204"/>
      <family val="2"/>
      <color rgb="FF595959"/>
      <sz val="10"/>
      <scheme val="major"/>
    </font>
    <font>
      <name val="Calibri"/>
      <charset val="204"/>
      <family val="2"/>
      <color rgb="FF595959"/>
      <sz val="10"/>
      <scheme val="minor"/>
    </font>
    <font>
      <name val="Segoe UI"/>
      <charset val="204"/>
      <family val="2"/>
      <color rgb="FF0F1115"/>
      <sz val="11"/>
    </font>
    <font>
      <name val="Segoe UI"/>
      <charset val="204"/>
      <family val="2"/>
      <color rgb="FF0F1115"/>
      <sz val="11"/>
    </font>
    <font>
      <name val="Segoe UI"/>
      <charset val="204"/>
      <family val="2"/>
      <color rgb="FF0F1115"/>
      <sz val="11"/>
    </font>
    <font>
      <name val="Segoe UI"/>
      <charset val="204"/>
      <family val="2"/>
      <color rgb="FF0F1115"/>
      <sz val="12"/>
    </font>
    <font>
      <name val="Segoe UI"/>
      <charset val="204"/>
      <family val="2"/>
      <color rgb="FF0F1115"/>
      <sz val="12"/>
    </font>
    <font>
      <name val="Calibri Light"/>
      <charset val="204"/>
      <family val="2"/>
      <color theme="1"/>
      <sz val="10"/>
      <scheme val="major"/>
    </font>
    <font>
      <name val="Segoe UI"/>
      <charset val="204"/>
      <family val="2"/>
      <b val="1"/>
      <color rgb="FF0F1115"/>
      <sz val="10"/>
    </font>
    <font>
      <name val="Calibri"/>
      <charset val="204"/>
      <family val="2"/>
      <color theme="1"/>
      <sz val="10"/>
      <scheme val="minor"/>
    </font>
    <font>
      <name val="Segoe UI"/>
      <charset val="204"/>
      <family val="2"/>
      <color rgb="FF0F1115"/>
      <sz val="10"/>
    </font>
    <font>
      <name val="Segoe UI"/>
      <charset val="204"/>
      <family val="2"/>
      <color theme="1"/>
      <sz val="10"/>
    </font>
    <font>
      <name val="Segoe UI"/>
      <charset val="204"/>
      <family val="2"/>
      <color rgb="FF0F1115"/>
      <sz val="10"/>
    </font>
    <font>
      <name val="Segoe UI"/>
      <charset val="204"/>
      <family val="2"/>
      <color theme="1"/>
      <sz val="10"/>
    </font>
    <font>
      <name val="Segoe UI"/>
      <charset val="204"/>
      <family val="2"/>
      <color rgb="FF0F1115"/>
      <sz val="10"/>
    </font>
    <font>
      <name val="Segoe UI"/>
      <charset val="204"/>
      <family val="2"/>
      <color theme="1"/>
      <sz val="10"/>
    </font>
    <font>
      <name val="Segoe UI"/>
      <charset val="204"/>
      <family val="2"/>
      <color rgb="FF0F1115"/>
      <sz val="12"/>
    </font>
  </fonts>
  <fills count="9">
    <fill>
      <patternFill/>
    </fill>
    <fill>
      <patternFill patternType="gray125"/>
    </fill>
    <fill>
      <patternFill patternType="solid">
        <fgColor theme="0" tint="-0.0499893185216834"/>
        <bgColor theme="0" tint="-0.0499893185216834"/>
      </patternFill>
    </fill>
    <fill>
      <patternFill patternType="solid">
        <fgColor theme="5" tint="0.3999755851924192"/>
        <bgColor theme="5" tint="0.3999755851924192"/>
      </patternFill>
    </fill>
    <fill>
      <patternFill patternType="solid">
        <fgColor rgb="FFC00000"/>
        <bgColor rgb="FFC00000"/>
      </patternFill>
    </fill>
    <fill>
      <patternFill patternType="solid">
        <fgColor theme="7" tint="0.7999816888943144"/>
        <bgColor theme="7" tint="0.7999816888943144"/>
      </patternFill>
    </fill>
    <fill>
      <patternFill patternType="solid">
        <fgColor theme="5" tint="0.5999938962981048"/>
        <bgColor theme="5" tint="0.5999938962981048"/>
      </patternFill>
    </fill>
    <fill>
      <patternFill patternType="solid">
        <fgColor rgb="FFFFFFFF"/>
        <bgColor indexed="64"/>
      </patternFill>
    </fill>
    <fill>
      <patternFill patternType="solid">
        <fgColor theme="0" tint="-0.1499679555650502"/>
        <bgColor indexed="64"/>
      </patternFill>
    </fill>
  </fills>
  <borders count="1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</borders>
  <cellStyleXfs count="2">
    <xf numFmtId="0" fontId="0" fillId="0" borderId="0"/>
    <xf numFmtId="0" fontId="1" fillId="0" borderId="0"/>
  </cellStyleXfs>
  <cellXfs count="64">
    <xf numFmtId="0" fontId="0" fillId="0" borderId="0" pivotButton="0" quotePrefix="0" xfId="0"/>
    <xf numFmtId="0" fontId="2" fillId="0" borderId="0" applyAlignment="1" pivotButton="0" quotePrefix="0" xfId="0">
      <alignment horizontal="centerContinuous"/>
    </xf>
    <xf numFmtId="0" fontId="3" fillId="0" borderId="0" applyAlignment="1" pivotButton="0" quotePrefix="0" xfId="0">
      <alignment horizontal="centerContinuous"/>
    </xf>
    <xf numFmtId="0" fontId="4" fillId="0" borderId="0" applyAlignment="1" pivotButton="0" quotePrefix="0" xfId="0">
      <alignment horizontal="centerContinuous" wrapText="1"/>
    </xf>
    <xf numFmtId="0" fontId="0" fillId="0" borderId="0" applyAlignment="1" pivotButton="0" quotePrefix="0" xfId="0">
      <alignment horizontal="centerContinuous"/>
    </xf>
    <xf numFmtId="0" fontId="4" fillId="0" borderId="0" applyAlignment="1" pivotButton="0" quotePrefix="0" xfId="0">
      <alignment horizontal="centerContinuous"/>
    </xf>
    <xf numFmtId="0" fontId="6" fillId="0" borderId="0" pivotButton="0" quotePrefix="0" xfId="0"/>
    <xf numFmtId="0" fontId="6" fillId="2" borderId="1" applyAlignment="1" pivotButton="0" quotePrefix="0" xfId="0">
      <alignment horizontal="centerContinuous" wrapText="1"/>
    </xf>
    <xf numFmtId="0" fontId="6" fillId="0" borderId="0" applyAlignment="1" pivotButton="0" quotePrefix="0" xfId="0">
      <alignment horizontal="centerContinuous" wrapText="1"/>
    </xf>
    <xf numFmtId="0" fontId="6" fillId="0" borderId="0" applyAlignment="1" pivotButton="0" quotePrefix="0" xfId="0">
      <alignment horizontal="center"/>
    </xf>
    <xf numFmtId="0" fontId="6" fillId="0" borderId="0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 vertical="center" wrapText="1"/>
    </xf>
    <xf numFmtId="0" fontId="7" fillId="0" borderId="0" pivotButton="0" quotePrefix="0" xfId="0"/>
    <xf numFmtId="0" fontId="6" fillId="0" borderId="1" applyAlignment="1" pivotButton="0" quotePrefix="0" xfId="0">
      <alignment horizontal="center" vertical="center"/>
    </xf>
    <xf numFmtId="0" fontId="6" fillId="3" borderId="1" pivotButton="0" quotePrefix="0" xfId="0"/>
    <xf numFmtId="0" fontId="6" fillId="4" borderId="1" pivotButton="0" quotePrefix="0" xfId="0"/>
    <xf numFmtId="0" fontId="6" fillId="4" borderId="0" pivotButton="0" quotePrefix="0" xfId="0"/>
    <xf numFmtId="0" fontId="6" fillId="0" borderId="0" applyAlignment="1" pivotButton="0" quotePrefix="0" xfId="0">
      <alignment horizontal="left" vertical="center"/>
    </xf>
    <xf numFmtId="0" fontId="6" fillId="5" borderId="1" pivotButton="0" quotePrefix="0" xfId="0"/>
    <xf numFmtId="0" fontId="6" fillId="3" borderId="0" pivotButton="0" quotePrefix="0" xfId="0"/>
    <xf numFmtId="0" fontId="6" fillId="5" borderId="0" pivotButton="0" quotePrefix="0" xfId="0"/>
    <xf numFmtId="0" fontId="9" fillId="0" borderId="0" applyAlignment="1" pivotButton="0" quotePrefix="0" xfId="0">
      <alignment vertical="center" textRotation="90"/>
    </xf>
    <xf numFmtId="0" fontId="9" fillId="0" borderId="0" applyAlignment="1" pivotButton="0" quotePrefix="0" xfId="0">
      <alignment horizontal="center" vertical="center"/>
    </xf>
    <xf numFmtId="0" fontId="6" fillId="5" borderId="3" pivotButton="0" quotePrefix="0" xfId="0"/>
    <xf numFmtId="0" fontId="6" fillId="6" borderId="3" pivotButton="0" quotePrefix="0" xfId="0"/>
    <xf numFmtId="0" fontId="6" fillId="4" borderId="3" pivotButton="0" quotePrefix="0" xfId="0"/>
    <xf numFmtId="0" fontId="6" fillId="6" borderId="1" pivotButton="0" quotePrefix="0" xfId="0"/>
    <xf numFmtId="0" fontId="6" fillId="0" borderId="1" pivotButton="0" quotePrefix="0" xfId="0"/>
    <xf numFmtId="0" fontId="10" fillId="7" borderId="0" applyAlignment="1" pivotButton="0" quotePrefix="0" xfId="0">
      <alignment horizontal="left" vertical="center" wrapText="1" indent="1"/>
    </xf>
    <xf numFmtId="0" fontId="12" fillId="7" borderId="0" applyAlignment="1" pivotButton="0" quotePrefix="0" xfId="0">
      <alignment horizontal="left" vertical="center" wrapText="1" indent="1"/>
    </xf>
    <xf numFmtId="0" fontId="11" fillId="7" borderId="0" applyAlignment="1" pivotButton="0" quotePrefix="0" xfId="0">
      <alignment horizontal="left" vertical="center" wrapText="1" indent="1"/>
    </xf>
    <xf numFmtId="0" fontId="15" fillId="0" borderId="0" pivotButton="0" quotePrefix="0" xfId="0"/>
    <xf numFmtId="0" fontId="16" fillId="0" borderId="0" applyAlignment="1" pivotButton="0" quotePrefix="0" xfId="0">
      <alignment vertical="center" wrapText="1"/>
    </xf>
    <xf numFmtId="0" fontId="17" fillId="0" borderId="0" pivotButton="0" quotePrefix="0" xfId="0"/>
    <xf numFmtId="0" fontId="18" fillId="7" borderId="6" applyAlignment="1" pivotButton="0" quotePrefix="0" xfId="0">
      <alignment horizontal="left" vertical="center" wrapText="1" indent="1"/>
    </xf>
    <xf numFmtId="0" fontId="18" fillId="7" borderId="3" applyAlignment="1" pivotButton="0" quotePrefix="0" xfId="0">
      <alignment horizontal="left" vertical="center" wrapText="1" indent="1"/>
    </xf>
    <xf numFmtId="0" fontId="18" fillId="7" borderId="7" applyAlignment="1" pivotButton="0" quotePrefix="0" xfId="0">
      <alignment horizontal="left" vertical="center" wrapText="1" indent="1"/>
    </xf>
    <xf numFmtId="0" fontId="19" fillId="0" borderId="0" applyAlignment="1" pivotButton="0" quotePrefix="0" xfId="0">
      <alignment horizontal="left" vertical="center" wrapText="1" indent="1"/>
    </xf>
    <xf numFmtId="0" fontId="20" fillId="7" borderId="4" applyAlignment="1" pivotButton="0" quotePrefix="0" xfId="0">
      <alignment horizontal="left" vertical="center" wrapText="1" indent="1"/>
    </xf>
    <xf numFmtId="0" fontId="20" fillId="7" borderId="1" applyAlignment="1" pivotButton="0" quotePrefix="0" xfId="0">
      <alignment horizontal="left" vertical="center" wrapText="1" indent="1"/>
    </xf>
    <xf numFmtId="0" fontId="20" fillId="7" borderId="5" applyAlignment="1" pivotButton="0" quotePrefix="0" xfId="0">
      <alignment horizontal="left" vertical="center" wrapText="1" indent="1"/>
    </xf>
    <xf numFmtId="0" fontId="21" fillId="0" borderId="0" applyAlignment="1" pivotButton="0" quotePrefix="0" xfId="0">
      <alignment horizontal="left" vertical="center" wrapText="1" indent="1"/>
    </xf>
    <xf numFmtId="0" fontId="22" fillId="7" borderId="4" applyAlignment="1" pivotButton="0" quotePrefix="0" xfId="0">
      <alignment horizontal="left" vertical="center" wrapText="1" indent="1"/>
    </xf>
    <xf numFmtId="0" fontId="22" fillId="7" borderId="1" applyAlignment="1" pivotButton="0" quotePrefix="0" xfId="0">
      <alignment horizontal="left" vertical="center" wrapText="1" indent="1"/>
    </xf>
    <xf numFmtId="0" fontId="22" fillId="7" borderId="5" applyAlignment="1" pivotButton="0" quotePrefix="0" xfId="0">
      <alignment horizontal="left" vertical="center" wrapText="1" indent="1"/>
    </xf>
    <xf numFmtId="0" fontId="23" fillId="0" borderId="0" applyAlignment="1" pivotButton="0" quotePrefix="0" xfId="0">
      <alignment horizontal="left" vertical="center" wrapText="1" indent="1"/>
    </xf>
    <xf numFmtId="0" fontId="22" fillId="7" borderId="8" applyAlignment="1" pivotButton="0" quotePrefix="0" xfId="0">
      <alignment horizontal="left" vertical="center" wrapText="1" indent="1"/>
    </xf>
    <xf numFmtId="0" fontId="22" fillId="7" borderId="2" applyAlignment="1" pivotButton="0" quotePrefix="0" xfId="0">
      <alignment horizontal="left" vertical="center" wrapText="1" indent="1"/>
    </xf>
    <xf numFmtId="0" fontId="22" fillId="7" borderId="9" applyAlignment="1" pivotButton="0" quotePrefix="0" xfId="0">
      <alignment horizontal="left" vertical="center" wrapText="1" indent="1"/>
    </xf>
    <xf numFmtId="0" fontId="11" fillId="7" borderId="1" applyAlignment="1" pivotButton="0" quotePrefix="0" xfId="0">
      <alignment horizontal="right" vertical="center" wrapText="1" indent="1"/>
    </xf>
    <xf numFmtId="0" fontId="24" fillId="7" borderId="1" applyAlignment="1" pivotButton="0" quotePrefix="0" xfId="0">
      <alignment horizontal="left" vertical="center" wrapText="1" indent="1"/>
    </xf>
    <xf numFmtId="0" fontId="13" fillId="7" borderId="1" applyAlignment="1" pivotButton="0" quotePrefix="0" xfId="0">
      <alignment horizontal="right" vertical="center" wrapText="1" indent="1"/>
    </xf>
    <xf numFmtId="0" fontId="14" fillId="7" borderId="1" applyAlignment="1" pivotButton="0" quotePrefix="0" xfId="0">
      <alignment horizontal="right" vertical="center" wrapText="1" indent="1"/>
    </xf>
    <xf numFmtId="0" fontId="11" fillId="8" borderId="0" applyAlignment="1" pivotButton="0" quotePrefix="0" xfId="0">
      <alignment horizontal="left" vertical="center" wrapText="1" indent="1"/>
    </xf>
    <xf numFmtId="0" fontId="5" fillId="0" borderId="0" applyAlignment="1" pivotButton="0" quotePrefix="0" xfId="1">
      <alignment horizontal="center"/>
    </xf>
    <xf numFmtId="0" fontId="9" fillId="0" borderId="1" applyAlignment="1" pivotButton="0" quotePrefix="0" xfId="0">
      <alignment horizontal="center" vertical="center"/>
    </xf>
    <xf numFmtId="0" fontId="8" fillId="0" borderId="1" applyAlignment="1" pivotButton="0" quotePrefix="0" xfId="0">
      <alignment horizontal="center" vertical="center" textRotation="90"/>
    </xf>
    <xf numFmtId="0" fontId="9" fillId="0" borderId="2" applyAlignment="1" pivotButton="0" quotePrefix="0" xfId="0">
      <alignment horizontal="center" vertical="center"/>
    </xf>
    <xf numFmtId="0" fontId="0" fillId="0" borderId="13" pivotButton="0" quotePrefix="0" xfId="0"/>
    <xf numFmtId="0" fontId="0" fillId="0" borderId="3" pivotButton="0" quotePrefix="0" xfId="0"/>
    <xf numFmtId="0" fontId="0" fillId="0" borderId="10" pivotButton="0" quotePrefix="0" xfId="0"/>
    <xf numFmtId="0" fontId="0" fillId="0" borderId="8" pivotButton="0" quotePrefix="0" xfId="0"/>
    <xf numFmtId="0" fontId="0" fillId="0" borderId="11" pivotButton="0" quotePrefix="0" xfId="0"/>
    <xf numFmtId="0" fontId="0" fillId="0" borderId="4" pivotButton="0" quotePrefix="0" xfId="0"/>
  </cellXfs>
  <cellStyles count="2">
    <cellStyle name="Обычный" xfId="0" builtinId="0"/>
    <cellStyle name="Гиперссылка" xfId="1" builtinId="8"/>
  </cellStyles>
  <dxfs count="24">
    <dxf>
      <fill>
        <patternFill patternType="solid">
          <fgColor theme="7" tint="0.7999816888943144"/>
          <bgColor theme="7" tint="0.7999816888943144"/>
        </patternFill>
      </fill>
    </dxf>
    <dxf>
      <fill>
        <patternFill patternType="solid">
          <fgColor theme="5" tint="0.5999633777886288"/>
          <bgColor theme="5" tint="0.5999633777886288"/>
        </patternFill>
      </fill>
    </dxf>
    <dxf>
      <fill>
        <patternFill patternType="solid">
          <fgColor rgb="FFC00000"/>
          <bgColor rgb="FFC00000"/>
        </patternFill>
      </fill>
    </dxf>
    <dxf>
      <font>
        <name val="Segoe UI"/>
        <charset val="204"/>
        <family val="2"/>
        <strike val="0"/>
        <outline val="0"/>
        <shadow val="0"/>
        <condense val="0"/>
        <color rgb="FF0F1115"/>
        <extend val="0"/>
        <sz val="10"/>
        <vertAlign val="baseline"/>
      </font>
      <fill>
        <patternFill patternType="solid">
          <fgColor indexed="64"/>
          <bgColor rgb="FFFFFFFF"/>
        </patternFill>
      </fill>
      <alignment horizontal="left" vertical="center" wrapText="1" indent="1"/>
      <border outline="0">
        <left style="thin">
          <color auto="1"/>
        </left>
        <right/>
        <top style="thin">
          <color auto="1"/>
        </top>
        <bottom style="thin">
          <color auto="1"/>
        </bottom>
      </border>
    </dxf>
    <dxf>
      <font>
        <name val="Segoe UI"/>
        <charset val="204"/>
        <family val="2"/>
        <strike val="0"/>
        <outline val="0"/>
        <shadow val="0"/>
        <condense val="0"/>
        <color rgb="FF0F1115"/>
        <extend val="0"/>
        <sz val="10"/>
        <vertAlign val="baseline"/>
      </font>
      <fill>
        <patternFill patternType="solid">
          <fgColor indexed="64"/>
          <bgColor rgb="FFFFFFFF"/>
        </patternFill>
      </fill>
      <alignment horizontal="left" vertical="center" wrapText="1" indent="1"/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name val="Segoe UI"/>
        <charset val="204"/>
        <family val="2"/>
        <strike val="0"/>
        <outline val="0"/>
        <shadow val="0"/>
        <condense val="0"/>
        <color rgb="FF0F1115"/>
        <extend val="0"/>
        <sz val="10"/>
        <vertAlign val="baseline"/>
      </font>
      <fill>
        <patternFill patternType="solid">
          <fgColor indexed="64"/>
          <bgColor rgb="FFFFFFFF"/>
        </patternFill>
      </fill>
      <alignment horizontal="left" vertical="center" wrapText="1" indent="1"/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name val="Segoe UI"/>
        <charset val="204"/>
        <family val="2"/>
        <strike val="0"/>
        <outline val="0"/>
        <shadow val="0"/>
        <condense val="0"/>
        <color rgb="FF0F1115"/>
        <extend val="0"/>
        <sz val="10"/>
        <vertAlign val="baseline"/>
      </font>
      <fill>
        <patternFill patternType="solid">
          <fgColor indexed="64"/>
          <bgColor rgb="FFFFFFFF"/>
        </patternFill>
      </fill>
      <alignment horizontal="left" vertical="center" wrapText="1" indent="1"/>
      <border outline="0">
        <left/>
        <right style="thin">
          <color auto="1"/>
        </right>
        <top style="thin">
          <color auto="1"/>
        </top>
        <bottom style="thin">
          <color auto="1"/>
        </bottom>
      </border>
    </dxf>
    <dxf>
      <border outline="0">
        <top style="thin">
          <color auto="1"/>
        </top>
      </border>
    </dxf>
    <dxf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strike val="0"/>
        <outline val="0"/>
        <shadow val="0"/>
        <sz val="10"/>
        <vertAlign val="baseline"/>
      </font>
    </dxf>
    <dxf>
      <border outline="0">
        <bottom style="thin">
          <color auto="1"/>
        </bottom>
      </border>
    </dxf>
    <dxf>
      <font>
        <name val="Segoe UI"/>
        <charset val="204"/>
        <family val="2"/>
        <strike val="0"/>
        <outline val="0"/>
        <shadow val="0"/>
        <condense val="0"/>
        <color rgb="FF0F1115"/>
        <extend val="0"/>
        <sz val="10"/>
        <vertAlign val="baseline"/>
      </font>
      <fill>
        <patternFill patternType="solid">
          <fgColor indexed="64"/>
          <bgColor rgb="FFFFFFFF"/>
        </patternFill>
      </fill>
      <alignment horizontal="left" vertical="center" wrapText="1" indent="1"/>
      <border outline="0">
        <left style="thin">
          <color auto="1"/>
        </left>
        <right style="thin">
          <color auto="1"/>
        </right>
        <top/>
        <bottom/>
      </border>
    </dxf>
    <dxf>
      <font>
        <name val="Calibri Light"/>
        <strike val="0"/>
        <color theme="1"/>
        <sz val="11"/>
        <vertAlign val="baseline"/>
        <scheme val="major"/>
      </font>
      <alignment horizontal="center" vertical="center"/>
    </dxf>
    <dxf>
      <font>
        <name val="Calibri Light"/>
        <strike val="0"/>
        <color theme="1"/>
        <sz val="11"/>
        <vertAlign val="baseline"/>
        <scheme val="major"/>
      </font>
      <numFmt numFmtId="0" formatCode="General"/>
      <alignment horizontal="center" vertical="center"/>
    </dxf>
    <dxf>
      <font>
        <name val="Calibri Light"/>
        <strike val="0"/>
        <color theme="1"/>
        <sz val="11"/>
        <vertAlign val="baseline"/>
        <scheme val="major"/>
      </font>
      <alignment horizontal="center" vertical="center"/>
    </dxf>
    <dxf>
      <font>
        <name val="Calibri Light"/>
        <strike val="0"/>
        <color theme="1"/>
        <sz val="11"/>
        <vertAlign val="baseline"/>
        <scheme val="major"/>
      </font>
      <alignment horizontal="center" vertical="center"/>
    </dxf>
    <dxf>
      <font>
        <name val="Calibri Light"/>
        <strike val="0"/>
        <color theme="1"/>
        <sz val="11"/>
        <vertAlign val="baseline"/>
        <scheme val="major"/>
      </font>
      <alignment horizontal="center" vertical="center"/>
    </dxf>
    <dxf>
      <font>
        <name val="Calibri Light"/>
        <strike val="0"/>
        <color theme="1"/>
        <sz val="11"/>
        <vertAlign val="baseline"/>
        <scheme val="major"/>
      </font>
      <alignment horizontal="center" vertical="center"/>
    </dxf>
    <dxf>
      <font>
        <name val="Calibri Light"/>
        <strike val="0"/>
        <color theme="1"/>
        <sz val="11"/>
        <vertAlign val="baseline"/>
        <scheme val="major"/>
      </font>
      <alignment horizontal="center" vertical="center"/>
    </dxf>
    <dxf>
      <font>
        <name val="Calibri Light"/>
        <strike val="0"/>
        <color theme="1"/>
        <sz val="11"/>
        <vertAlign val="baseline"/>
        <scheme val="major"/>
      </font>
      <numFmt numFmtId="0" formatCode="General"/>
      <alignment horizontal="center" vertical="center"/>
    </dxf>
    <dxf>
      <font>
        <name val="Calibri Light"/>
        <strike val="0"/>
        <color theme="1"/>
        <sz val="11"/>
        <vertAlign val="baseline"/>
        <scheme val="major"/>
      </font>
      <alignment horizontal="center" vertical="center"/>
    </dxf>
    <dxf>
      <fill>
        <patternFill patternType="solid">
          <fgColor theme="5" tint="0.5999633777886288"/>
          <bgColor theme="5" tint="0.5999633777886288"/>
        </patternFill>
      </fill>
    </dxf>
    <dxf>
      <fill>
        <patternFill patternType="solid">
          <fgColor theme="7" tint="0.7999816888943144"/>
          <bgColor theme="7" tint="0.7999816888943144"/>
        </patternFill>
      </fill>
    </dxf>
    <dxf>
      <fill>
        <patternFill patternType="solid">
          <fgColor rgb="FFC00000"/>
          <bgColor rgb="FFC00000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charts/chart1.xml><?xml version="1.0" encoding="utf-8"?>
<chartSpace xmlns="http://schemas.openxmlformats.org/drawingml/2006/chart">
  <chart>
    <plotArea>
      <layout/>
      <scatterChart>
        <scatterStyle val="lineMarker"/>
        <varyColors val="0"/>
        <ser>
          <idx val="0"/>
          <order val="0"/>
          <tx>
            <strRef>
              <f>'Таблица с рисками'!$G$3</f>
              <strCache>
                <ptCount val="1"/>
                <pt idx="0">
                  <v>Оценка силы воздействия риска</v>
                </pt>
              </strCache>
            </strRef>
          </tx>
          <spPr>
            <a:prstGeom xmlns:a="http://schemas.openxmlformats.org/drawingml/2006/main" prst="rect">
              <avLst/>
            </a:prstGeom>
            <a:ln xmlns:a="http://schemas.openxmlformats.org/drawingml/2006/main" w="25400" cap="rnd">
              <a:noFill/>
              <a:prstDash val="solid"/>
              <a:round/>
            </a:ln>
          </spPr>
          <marker>
            <symbol val="circle"/>
            <size val="5"/>
            <spPr>
              <a:prstGeom xmlns:a="http://schemas.openxmlformats.org/drawingml/2006/main" prst="rect">
                <avLst/>
              </a:prstGeom>
              <a:solidFill xmlns:a="http://schemas.openxmlformats.org/drawingml/2006/main">
                <a:schemeClr val="accent1"/>
              </a:solidFill>
              <a:ln xmlns:a="http://schemas.openxmlformats.org/drawingml/2006/main" w="9525">
                <a:solidFill>
                  <a:schemeClr val="accent1"/>
                </a:solidFill>
                <a:prstDash val="solid"/>
              </a:ln>
            </spPr>
          </marker>
          <dLbls>
            <dLbl>
              <idx val="0"/>
              <showLegendKey val="0"/>
              <showVal val="0"/>
              <showCatName val="0"/>
              <showSerName val="0"/>
              <showPercent val="0"/>
              <showBubbleSize val="0"/>
            </dLbl>
            <dLbl>
              <idx val="1"/>
              <showLegendKey val="0"/>
              <showVal val="0"/>
              <showCatName val="0"/>
              <showSerName val="0"/>
              <showPercent val="0"/>
              <showBubbleSize val="0"/>
            </dLbl>
            <dLbl>
              <idx val="2"/>
              <showLegendKey val="0"/>
              <showVal val="0"/>
              <showCatName val="0"/>
              <showSerName val="0"/>
              <showPercent val="0"/>
              <showBubbleSize val="0"/>
            </dLbl>
            <dLbl>
              <idx val="3"/>
              <showLegendKey val="0"/>
              <showVal val="0"/>
              <showCatName val="0"/>
              <showSerName val="0"/>
              <showPercent val="0"/>
              <showBubbleSize val="0"/>
            </dLbl>
            <dLbl>
              <idx val="4"/>
              <showLegendKey val="0"/>
              <showVal val="0"/>
              <showCatName val="0"/>
              <showSerName val="0"/>
              <showPercent val="0"/>
              <showBubbleSize val="0"/>
            </dLbl>
            <dLbl>
              <idx val="5"/>
              <showLegendKey val="0"/>
              <showVal val="0"/>
              <showCatName val="0"/>
              <showSerName val="0"/>
              <showPercent val="0"/>
              <showBubbleSize val="0"/>
            </dLbl>
            <dLbl>
              <idx val="6"/>
              <showLegendKey val="0"/>
              <showVal val="0"/>
              <showCatName val="0"/>
              <showSerName val="0"/>
              <showPercent val="0"/>
              <showBubbleSize val="0"/>
            </dLbl>
            <dLbl>
              <idx val="7"/>
              <showLegendKey val="0"/>
              <showVal val="0"/>
              <showCatName val="0"/>
              <showSerName val="0"/>
              <showPercent val="0"/>
              <showBubbleSize val="0"/>
            </dLbl>
            <dLbl>
              <idx val="8"/>
              <showLegendKey val="0"/>
              <showVal val="0"/>
              <showCatName val="0"/>
              <showSerName val="0"/>
              <showPercent val="0"/>
              <showBubbleSize val="0"/>
            </dLbl>
            <dLbl>
              <idx val="9"/>
              <showLegendKey val="0"/>
              <showVal val="0"/>
              <showCatName val="0"/>
              <showSerName val="0"/>
              <showPercent val="0"/>
              <showBubbleSize val="0"/>
            </dLbl>
            <dLbl>
              <idx val="10"/>
              <showLegendKey val="0"/>
              <showVal val="0"/>
              <showCatName val="0"/>
              <showSerName val="0"/>
              <showPercent val="0"/>
              <showBubbleSize val="0"/>
            </dLbl>
            <dLbl>
              <idx val="11"/>
              <showLegendKey val="0"/>
              <showVal val="0"/>
              <showCatName val="0"/>
              <showSerName val="0"/>
              <showPercent val="0"/>
              <showBubbleSize val="0"/>
            </dLbl>
            <dLbl>
              <idx val="12"/>
              <showLegendKey val="0"/>
              <showVal val="0"/>
              <showCatName val="0"/>
              <showSerName val="0"/>
              <showPercent val="0"/>
              <showBubbleSize val="0"/>
            </dLbl>
            <dLbl>
              <idx val="13"/>
              <showLegendKey val="0"/>
              <showVal val="0"/>
              <showCatName val="0"/>
              <showSerName val="0"/>
              <showPercent val="0"/>
              <showBubbleSize val="0"/>
            </dLbl>
            <dLbl>
              <idx val="14"/>
              <showLegendKey val="0"/>
              <showVal val="0"/>
              <showCatName val="0"/>
              <showSerName val="0"/>
              <showPercent val="0"/>
              <showBubbleSize val="0"/>
            </dLbl>
            <dLbl>
              <idx val="15"/>
              <showLegendKey val="0"/>
              <showVal val="0"/>
              <showCatName val="0"/>
              <showSerName val="0"/>
              <showPercent val="0"/>
              <showBubbleSize val="0"/>
            </dLbl>
            <dLbl>
              <idx val="16"/>
              <showLegendKey val="0"/>
              <showVal val="0"/>
              <showCatName val="0"/>
              <showSerName val="0"/>
              <showPercent val="0"/>
              <showBubbleSize val="0"/>
            </dLbl>
            <dLbl>
              <idx val="17"/>
              <showLegendKey val="0"/>
              <showVal val="0"/>
              <showCatName val="0"/>
              <showSerName val="0"/>
              <showPercent val="0"/>
              <showBubbleSize val="0"/>
            </dLbl>
            <dLbl>
              <idx val="18"/>
              <showLegendKey val="0"/>
              <showVal val="0"/>
              <showCatName val="0"/>
              <showSerName val="0"/>
              <showPercent val="0"/>
              <showBubbleSize val="0"/>
            </dLbl>
            <dLbl>
              <idx val="19"/>
              <showLegendKey val="0"/>
              <showVal val="0"/>
              <showCatName val="0"/>
              <showSerName val="0"/>
              <showPercent val="0"/>
              <showBubbleSize val="0"/>
            </dLbl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 rot="0" spcFirstLastPara="1" vertOverflow="ellipsis" vert="horz" wrap="square" lIns="38100" tIns="19050" rIns="38100" bIns="19050" anchor="ctr" anchorCtr="1">
                <a:spAutoFit/>
              </a:bodyPr>
              <a:lstStyle xmlns:a="http://schemas.openxmlformats.org/drawingml/2006/main"/>
              <a:p xmlns:a="http://schemas.openxmlformats.org/drawingml/2006/main">
                <a:pPr>
                  <a:defRPr sz="900" b="0" i="0" strike="noStrike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/>
                </a:r>
                <a:endParaRPr lang="ru-RU"/>
              </a:p>
            </txPr>
            <showLegendKey val="0"/>
            <showVal val="0"/>
            <showCatName val="0"/>
            <showSerName val="0"/>
            <showPercent val="0"/>
            <showBubbleSize val="0"/>
          </dLbls>
          <xVal>
            <numRef>
              <f>'Таблица с рисками'!$F$4:$F$23</f>
              <numCache>
                <formatCode>General</formatCode>
                <ptCount val="20"/>
              </numCache>
            </numRef>
          </xVal>
          <yVal>
            <numRef>
              <f>'Таблица с рисками'!$G$4:$G$23</f>
              <numCache>
                <formatCode>General</formatCode>
                <ptCount val="20"/>
              </numCache>
            </numRef>
          </y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axId val="1166033823"/>
        <axId val="1166029503"/>
      </scatterChart>
      <valAx>
        <axId val="1166033823"/>
        <scaling>
          <orientation val="minMax"/>
          <max val="1"/>
        </scaling>
        <delete val="0"/>
        <axPos val="b"/>
        <majorGridlines>
          <spPr>
            <a:prstGeom xmlns:a="http://schemas.openxmlformats.org/drawingml/2006/main" prst="rect">
              <avLst/>
            </a:prstGeom>
            <a:ln xmlns:a="http://schemas.openxmlformats.org/drawingml/2006/main"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title>
          <tx>
            <rich>
              <a:bodyPr xmlns:a="http://schemas.openxmlformats.org/drawingml/2006/main" rot="0" spcFirstLastPara="1" vertOverflow="ellipsis" vert="horz" wrap="square" anchor="ctr" anchorCtr="1"/>
              <a:lstStyle xmlns:a="http://schemas.openxmlformats.org/drawingml/2006/main"/>
              <a:p xmlns:a="http://schemas.openxmlformats.org/drawingml/2006/main">
                <a:pPr>
                  <a:defRPr sz="1000" b="0" i="0" strike="noStrike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ru-RU"/>
                  <a:t>Оценка вероятности возникновения риска</a:t>
                </a:r>
              </a:p>
            </rich>
          </tx>
          <overlay val="0"/>
          <spPr>
            <a:prstGeom xmlns:a="http://schemas.openxmlformats.org/drawingml/2006/main" prst="rect">
              <avLst/>
            </a:prstGeom>
            <a:noFill xmlns:a="http://schemas.openxmlformats.org/drawingml/2006/main"/>
            <a:ln xmlns:a="http://schemas.openxmlformats.org/drawingml/2006/main">
              <a:noFill/>
              <a:prstDash val="solid"/>
            </a:ln>
          </spPr>
        </title>
        <numFmt formatCode="General" sourceLinked="1"/>
        <majorTickMark val="none"/>
        <minorTickMark val="none"/>
        <tickLblPos val="nextTo"/>
        <spPr>
          <a:prstGeom xmlns:a="http://schemas.openxmlformats.org/drawingml/2006/main" prst="rect">
            <avLst/>
          </a:prstGeom>
          <a:noFill xmlns:a="http://schemas.openxmlformats.org/drawingml/2006/main"/>
          <a:ln xmlns:a="http://schemas.openxmlformats.org/drawingml/2006/main" w="9525" cap="flat" cmpd="sng" algn="ctr">
            <a:solidFill>
              <a:schemeClr val="tx1">
                <a:lumMod val="25000"/>
                <a:lumOff val="7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baseline="0">
                <a:solidFill>
                  <a:schemeClr val="tx1">
                    <a:lumMod val="65000"/>
                    <a:lumOff val="35000"/>
                  </a:schemeClr>
                </a:solidFill>
                <a:latin typeface="Calibri"/>
                <a:ea typeface="Arial"/>
                <a:cs typeface="Arial"/>
              </a:defRPr>
            </a:pPr>
            <a:r>
              <a:t/>
            </a:r>
            <a:endParaRPr lang="ru-RU"/>
          </a:p>
        </txPr>
        <crossAx val="1166029503"/>
        <crosses val="autoZero"/>
        <crossBetween val="midCat"/>
      </valAx>
      <valAx>
        <axId val="1166029503"/>
        <scaling>
          <orientation val="minMax"/>
          <max val="1"/>
        </scaling>
        <delete val="0"/>
        <axPos val="l"/>
        <majorGridlines>
          <spPr>
            <a:prstGeom xmlns:a="http://schemas.openxmlformats.org/drawingml/2006/main" prst="rect">
              <avLst/>
            </a:prstGeom>
            <a:ln xmlns:a="http://schemas.openxmlformats.org/drawingml/2006/main"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title>
          <tx>
            <rich>
              <a:bodyPr xmlns:a="http://schemas.openxmlformats.org/drawingml/2006/main" rot="-5400000" spcFirstLastPara="1" vertOverflow="ellipsis" vert="horz" wrap="square" anchor="ctr" anchorCtr="1"/>
              <a:lstStyle xmlns:a="http://schemas.openxmlformats.org/drawingml/2006/main"/>
              <a:p xmlns:a="http://schemas.openxmlformats.org/drawingml/2006/main">
                <a:pPr>
                  <a:defRPr sz="1000" b="0" i="0" strike="noStrike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ru-RU"/>
                  <a:t>Оценка силы воздействия риска</a:t>
                </a:r>
              </a:p>
            </rich>
          </tx>
          <overlay val="0"/>
          <spPr>
            <a:prstGeom xmlns:a="http://schemas.openxmlformats.org/drawingml/2006/main" prst="rect">
              <avLst/>
            </a:prstGeom>
            <a:noFill xmlns:a="http://schemas.openxmlformats.org/drawingml/2006/main"/>
            <a:ln xmlns:a="http://schemas.openxmlformats.org/drawingml/2006/main">
              <a:noFill/>
              <a:prstDash val="solid"/>
            </a:ln>
          </spPr>
        </title>
        <numFmt formatCode="General" sourceLinked="1"/>
        <majorTickMark val="none"/>
        <minorTickMark val="none"/>
        <tickLblPos val="nextTo"/>
        <spPr>
          <a:prstGeom xmlns:a="http://schemas.openxmlformats.org/drawingml/2006/main" prst="rect">
            <avLst/>
          </a:prstGeom>
          <a:noFill xmlns:a="http://schemas.openxmlformats.org/drawingml/2006/main"/>
          <a:ln xmlns:a="http://schemas.openxmlformats.org/drawingml/2006/main" w="9525" cap="flat" cmpd="sng" algn="ctr">
            <a:solidFill>
              <a:schemeClr val="tx1">
                <a:lumMod val="25000"/>
                <a:lumOff val="7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baseline="0">
                <a:solidFill>
                  <a:schemeClr val="tx1">
                    <a:lumMod val="65000"/>
                    <a:lumOff val="35000"/>
                  </a:schemeClr>
                </a:solidFill>
                <a:latin typeface="Calibri"/>
                <a:ea typeface="Arial"/>
                <a:cs typeface="Arial"/>
              </a:defRPr>
            </a:pPr>
            <a:r>
              <a:t/>
            </a:r>
            <a:endParaRPr lang="ru-RU"/>
          </a:p>
        </txPr>
        <crossAx val="1166033823"/>
        <crosses val="autoZero"/>
        <crossBetween val="midCat"/>
      </valAx>
    </plotArea>
    <plotVisOnly val="1"/>
    <dispBlanksAs val="gap"/>
  </chart>
  <spPr>
    <a:xfrm xmlns:a="http://schemas.openxmlformats.org/drawingml/2006/main">
      <a:off x="0" y="0"/>
      <a:ext cx="0" cy="0"/>
    </a:xfrm>
    <a:prstGeom xmlns:a="http://schemas.openxmlformats.org/drawingml/2006/main" prst="rect">
      <avLst/>
    </a:prstGeom>
    <a:solidFill xmlns:a="http://schemas.openxmlformats.org/drawingml/2006/main">
      <a:schemeClr val="bg1"/>
    </a:solidFill>
    <a:ln xmlns:a="http://schemas.openxmlformats.org/drawingml/2006/main"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drawings/_rels/drawing1.xml.rels><Relationships xmlns="http://schemas.openxmlformats.org/package/2006/relationships"><Relationship Type="http://schemas.openxmlformats.org/officeDocument/2006/relationships/image" Target="/xl/media/image1.jpeg" Id="rId1"/></Relationships>
</file>

<file path=xl/drawings/_rels/drawing2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image" Target="/xl/media/image2.png" Id="rId2"/></Relationships>
</file>

<file path=xl/drawings/drawing1.xml><?xml version="1.0" encoding="utf-8"?>
<wsDr xmlns="http://schemas.openxmlformats.org/drawingml/2006/spreadsheetDrawing">
  <twoCellAnchor editAs="oneCell">
    <from>
      <col>0</col>
      <colOff>0</colOff>
      <row>0</row>
      <rowOff>0</rowOff>
    </from>
    <to>
      <col>4</col>
      <colOff>207062</colOff>
      <row>11</row>
      <rowOff>39782</rowOff>
    </to>
    <pic>
      <nvPicPr>
        <cNvPr id="2" name="Рисунок 1"/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 bwMode="auto">
        <a:xfrm xmlns:a="http://schemas.openxmlformats.org/drawingml/2006/main">
          <a:off x="0" y="0"/>
          <a:ext cx="2645462" cy="3468782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/>
  </twoCellAnchor>
</wsDr>
</file>

<file path=xl/drawings/drawing2.xml><?xml version="1.0" encoding="utf-8"?>
<wsDr xmlns="http://schemas.openxmlformats.org/drawingml/2006/spreadsheetDrawing">
  <twoCellAnchor>
    <from>
      <col>0</col>
      <colOff>69850</colOff>
      <row>3</row>
      <rowOff>177800</rowOff>
    </from>
    <to>
      <col>8</col>
      <colOff>628649</colOff>
      <row>22</row>
      <rowOff>120650</rowOff>
    </to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twoCellAnchor>
  <twoCellAnchor editAs="oneCell">
    <from>
      <col>10</col>
      <colOff>247650</colOff>
      <row>10</row>
      <rowOff>171450</rowOff>
    </from>
    <to>
      <col>16</col>
      <colOff>1257828</colOff>
      <row>26</row>
      <rowOff>552747</rowOff>
    </to>
    <pic>
      <nvPicPr>
        <cNvPr id="3" name="Рисунок 2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2"/>
        <a:stretch xmlns:a="http://schemas.openxmlformats.org/drawingml/2006/main">
          <a:fillRect/>
        </a:stretch>
      </blipFill>
      <spPr>
        <a:xfrm xmlns:a="http://schemas.openxmlformats.org/drawingml/2006/main">
          <a:off x="6200775" y="2095500"/>
          <a:ext cx="6096528" cy="3429297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tables/table1.xml><?xml version="1.0" encoding="utf-8"?>
<table xmlns="http://schemas.openxmlformats.org/spreadsheetml/2006/main" id="1" name="Таблица1" displayName="Таблица1" ref="A3:I23" headerRowCount="1">
  <autoFilter ref="A3:I23"/>
  <tableColumns count="9">
    <tableColumn id="1" name="Номер риска" dataDxfId="20"/>
    <tableColumn id="2" name="Обозначение риска" dataDxfId="19"/>
    <tableColumn id="3" name="Наименование риска" dataDxfId="18"/>
    <tableColumn id="4" name="Влияние риска на проект/предприятие" dataDxfId="17"/>
    <tableColumn id="5" name="Что является триггером для проявление данного риска?" dataDxfId="16"/>
    <tableColumn id="6" name="Оценка вероятности возникновения риска" dataDxfId="15"/>
    <tableColumn id="7" name="Оценка силы воздействия риска" dataDxfId="14"/>
    <tableColumn id="8" name="Итоговый коэффициент " dataDxfId="13"/>
    <tableColumn id="9" name="Мероприятия по минимизации рисков" dataDxfId="12"/>
  </tableColumns>
  <tableStyleInfo name="TableStyleLight1" showFirstColumn="0" showLastColumn="0" showRowStripes="1" showColumnStripes="0"/>
</table>
</file>

<file path=xl/tables/table2.xml><?xml version="1.0" encoding="utf-8"?>
<table xmlns="http://schemas.openxmlformats.org/spreadsheetml/2006/main" id="2" name="Таблица2" displayName="Таблица2" ref="B28:E34" headerRowCount="1" totalsRowShown="0" headerRowDxfId="11" dataDxfId="9" headerRowBorderDxfId="10" tableBorderDxfId="8" totalsRowBorderDxfId="7">
  <tableColumns count="4">
    <tableColumn id="1" name="A" dataDxfId="6"/>
    <tableColumn id="2" name="B" dataDxfId="5"/>
    <tableColumn id="3" name="C" dataDxfId="4"/>
    <tableColumn id="4" name="D" dataDxfId="3"/>
  </tableColumns>
  <tableStyleInfo name="TableStyleLight15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course-excel.ru/" TargetMode="External" Id="rId1"/><Relationship Type="http://schemas.openxmlformats.org/officeDocument/2006/relationships/drawing" Target="/xl/drawings/drawing1.xml" Id="rId2"/></Relationships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F4:Q9"/>
  <sheetViews>
    <sheetView workbookViewId="0">
      <selection activeCell="Q16" sqref="Q16"/>
    </sheetView>
  </sheetViews>
  <sheetFormatPr baseColWidth="8" defaultRowHeight="14.5"/>
  <sheetData>
    <row r="4" ht="26" customHeight="1">
      <c r="F4" s="1" t="inlineStr">
        <is>
          <t xml:space="preserve">Здравствуйте! </t>
        </is>
      </c>
      <c r="G4" s="2" t="n"/>
      <c r="H4" s="2" t="n"/>
      <c r="I4" s="2" t="n"/>
      <c r="J4" s="2" t="n"/>
      <c r="K4" s="2" t="n"/>
      <c r="L4" s="2" t="n"/>
      <c r="M4" s="2" t="n"/>
      <c r="N4" s="2" t="n"/>
      <c r="O4" s="2" t="n"/>
    </row>
    <row r="5" ht="57.65" customHeight="1">
      <c r="F5" s="3" t="inlineStr">
        <is>
          <t xml:space="preserve">Меня зовут Татьяна и я разработала данный файл в обучающих целях для сайта </t>
        </is>
      </c>
      <c r="G5" s="4" t="n"/>
      <c r="H5" s="4" t="n"/>
      <c r="I5" s="4" t="n"/>
      <c r="J5" s="4" t="n"/>
      <c r="K5" s="4" t="n"/>
      <c r="L5" s="4" t="n"/>
      <c r="M5" s="4" t="n"/>
      <c r="N5" s="4" t="n"/>
      <c r="O5" s="4" t="n"/>
      <c r="P5" s="4" t="n"/>
      <c r="Q5" s="4" t="n"/>
    </row>
    <row r="6" ht="36" customHeight="1">
      <c r="F6" s="54" t="inlineStr">
        <is>
          <t>https://course-excel.ru/</t>
        </is>
      </c>
    </row>
    <row r="7" ht="26" customHeight="1">
      <c r="F7" s="5" t="n"/>
      <c r="G7" s="4" t="n"/>
      <c r="H7" s="4" t="n"/>
      <c r="I7" s="4" t="n"/>
      <c r="J7" s="4" t="n"/>
      <c r="K7" s="4" t="n"/>
      <c r="L7" s="4" t="n"/>
      <c r="M7" s="4" t="n"/>
      <c r="N7" s="4" t="n"/>
      <c r="O7" s="4" t="n"/>
      <c r="P7" s="4" t="n"/>
      <c r="Q7" s="4" t="n"/>
    </row>
    <row r="8" ht="26" customHeight="1">
      <c r="F8" s="5" t="n"/>
    </row>
    <row r="9" ht="26" customHeight="1">
      <c r="F9" s="5" t="n"/>
      <c r="G9" s="4" t="n"/>
      <c r="H9" s="4" t="n"/>
      <c r="I9" s="4" t="n"/>
      <c r="J9" s="4" t="n"/>
      <c r="K9" s="4" t="n"/>
      <c r="L9" s="4" t="n"/>
      <c r="M9" s="4" t="n"/>
      <c r="N9" s="4" t="n"/>
      <c r="O9" s="4" t="n"/>
      <c r="P9" s="4" t="n"/>
      <c r="Q9" s="4" t="n"/>
    </row>
  </sheetData>
  <sheetProtection selectLockedCells="0" selectUnlockedCells="0" algorithmName="SHA-512" sheet="1" objects="1" insertRows="1" insertHyperlinks="1" autoFilter="1" scenarios="1" formatColumns="1" deleteColumns="1" insertColumns="1" pivotTables="1" deleteRows="1" formatCells="1" saltValue="h45A85rX9Re0ZbUgDqRMLg==" formatRows="1" sort="1" spinCount="100000" hashValue="/+KSBwk/4epURYW2E6vDyfD5Wxc2p8Pu5yChp7B8HttnySsA9xNbek+e/wQw4wDTl6quPtZVGlhqe4W5B9rHBg=="/>
  <mergeCells count="1">
    <mergeCell ref="F6:Q6"/>
  </mergeCells>
  <hyperlinks>
    <hyperlink xmlns:r="http://schemas.openxmlformats.org/officeDocument/2006/relationships" ref="F6" r:id="rId1"/>
  </hyperlinks>
  <pageMargins left="0.7" right="0.7" top="0.75" bottom="0.75" header="0.3" footer="0.3"/>
  <pageSetup orientation="portrait" paperSize="9" verticalDpi="0"/>
  <drawing xmlns:r="http://schemas.openxmlformats.org/officeDocument/2006/relationships" r:id="rId2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8"/>
  <sheetViews>
    <sheetView tabSelected="1" workbookViewId="0">
      <selection activeCell="C4" sqref="C4:C18"/>
    </sheetView>
  </sheetViews>
  <sheetFormatPr baseColWidth="8" defaultColWidth="8.7265625" defaultRowHeight="14.5"/>
  <cols>
    <col width="7.26953125" customWidth="1" style="6" min="1" max="1"/>
    <col width="13.7265625" customWidth="1" style="6" min="2" max="2"/>
    <col width="60.54296875" customWidth="1" style="6" min="3" max="3"/>
    <col width="26.26953125" customWidth="1" style="6" min="4" max="4"/>
    <col width="24.54296875" customWidth="1" style="6" min="5" max="5"/>
    <col width="19" customWidth="1" style="6" min="6" max="7"/>
    <col width="47.54296875" customWidth="1" style="6" min="8" max="8"/>
    <col width="40.1796875" customWidth="1" style="6" min="9" max="9"/>
    <col width="22.54296875" customWidth="1" style="6" min="10" max="10"/>
    <col width="19.7265625" customWidth="1" style="6" min="11" max="11"/>
    <col width="11.1796875" customWidth="1" style="6" min="12" max="12"/>
    <col width="12.26953125" customWidth="1" style="6" min="13" max="13"/>
    <col width="16.453125" customWidth="1" style="6" min="14" max="14"/>
    <col width="26.453125" customWidth="1" style="6" min="15" max="15"/>
    <col width="25.81640625" customWidth="1" style="6" min="16" max="16"/>
    <col width="8.7265625" customWidth="1" style="6" min="17" max="16384"/>
  </cols>
  <sheetData>
    <row r="1">
      <c r="A1" s="6" t="inlineStr">
        <is>
          <t>DiagramCode (VisualDSL-Platform) — курсовой срез</t>
        </is>
      </c>
      <c r="C1" s="7" t="n"/>
      <c r="D1" s="8" t="n"/>
      <c r="E1" s="8" t="n"/>
    </row>
    <row r="2">
      <c r="F2" s="9" t="inlineStr">
        <is>
          <t>от 0 до 1</t>
        </is>
      </c>
      <c r="G2" s="9" t="inlineStr">
        <is>
          <t>от 0 до 1</t>
        </is>
      </c>
    </row>
    <row r="3" ht="43.5" customFormat="1" customHeight="1" s="10">
      <c r="A3" s="11" t="inlineStr">
        <is>
          <t>Номер риска</t>
        </is>
      </c>
      <c r="B3" s="11" t="inlineStr">
        <is>
          <t>Обозначение риска</t>
        </is>
      </c>
      <c r="C3" s="11" t="inlineStr">
        <is>
          <t>Наименование риска</t>
        </is>
      </c>
      <c r="D3" s="11" t="inlineStr">
        <is>
          <t>Влияние риска на проект/предприятие</t>
        </is>
      </c>
      <c r="E3" s="11" t="inlineStr">
        <is>
          <t>Что является триггером для проявление данного риска?</t>
        </is>
      </c>
      <c r="F3" s="11" t="inlineStr">
        <is>
          <t>Оценка вероятности возникновения риска</t>
        </is>
      </c>
      <c r="G3" s="11" t="inlineStr">
        <is>
          <t>Оценка силы воздействия риска</t>
        </is>
      </c>
      <c r="H3" s="11" t="inlineStr">
        <is>
          <t xml:space="preserve">Итоговый коэффициент </t>
        </is>
      </c>
      <c r="I3" s="11" t="inlineStr">
        <is>
          <t>Мероприятия по минимизации рисков</t>
        </is>
      </c>
    </row>
    <row r="4" ht="16.5" customHeight="1">
      <c r="A4" s="10" t="n">
        <v>1</v>
      </c>
      <c r="B4" s="10">
        <f>"R "&amp;Таблица1[[#This Row],[Номер риска]]&amp;" "</f>
        <v/>
      </c>
      <c r="C4" s="49" t="inlineStr">
        <is>
          <t>Ветки feature/notation-bpmn-and-collab и feature/real-ide-app не смёржены к дате защиты</t>
        </is>
      </c>
      <c r="D4" s="10" t="inlineStr">
        <is>
          <t>На защите нельзя показать бэкенд и новый фронтенд как единое приложение</t>
        </is>
      </c>
      <c r="E4" s="10" t="inlineStr">
        <is>
          <t>Конфликты слияния из-за параллельной работы двух фоновых агентов на разных ветках</t>
        </is>
      </c>
      <c r="F4" s="30" t="n">
        <v>0.5</v>
      </c>
      <c r="G4" s="30" t="n">
        <v>0.9</v>
      </c>
      <c r="H4" s="10">
        <f>Таблица1[[#This Row],[Оценка вероятности возникновения риска]]*Таблица1[[#This Row],[Оценка силы воздействия риска]]</f>
        <v/>
      </c>
      <c r="I4" s="10" t="inlineStr">
        <is>
          <t>Смёржить обе ветки в одну защищаемую заранее, до финальной недели подготовки; прогонять тесты после каждого merge</t>
        </is>
      </c>
    </row>
    <row r="5" ht="16.5" customHeight="1">
      <c r="A5" s="10" t="n">
        <v>2</v>
      </c>
      <c r="B5" s="10">
        <f>"R "&amp;Таблица1[[#This Row],[Номер риска]]&amp;" "</f>
        <v/>
      </c>
      <c r="C5" s="49" t="inlineStr">
        <is>
          <t>Нотации uml.class и idef0 (FR-NOT-06) не реализованы к сроку</t>
        </is>
      </c>
      <c r="D5" s="10" t="inlineStr">
        <is>
          <t>Заявленный объём курсового среза (Волна 1) не будет фактически покрыт кодом</t>
        </is>
      </c>
      <c r="E5" s="10" t="inlineStr">
        <is>
          <t>Недооценка времени на вторую и третью нотацию после ERD</t>
        </is>
      </c>
      <c r="F5" s="30" t="n">
        <v>0.6</v>
      </c>
      <c r="G5" s="30" t="n">
        <v>0.7</v>
      </c>
      <c r="H5" s="10">
        <f>Таблица1[[#This Row],[Оценка вероятности возникновения риска]]*Таблица1[[#This Row],[Оценка силы воздействия риска]]</f>
        <v/>
      </c>
      <c r="I5" s="10" t="inlineStr">
        <is>
          <t>Зафиксировать в РПЗ фактический объём (только ERD), либо выделить резерв времени на idef0/uml.class до защиты</t>
        </is>
      </c>
    </row>
    <row r="6" ht="16.5" customHeight="1">
      <c r="A6" s="10" t="n">
        <v>3</v>
      </c>
      <c r="B6" s="10">
        <f>"R "&amp;Таблица1[[#This Row],[Номер риска]]&amp;" "</f>
        <v/>
      </c>
      <c r="C6" s="49" t="inlineStr">
        <is>
          <t>Реальная БД Neon PostgreSQL и Redis не подключены и не проверены end-to-end</t>
        </is>
      </c>
      <c r="D6" s="10" t="inlineStr">
        <is>
          <t>Демонстрация на облачной инфраструктуре может выявить неучтённые баги миграций</t>
        </is>
      </c>
      <c r="E6" s="10" t="inlineStr">
        <is>
          <t>Alembic-миграции ни разу не прогонялись против настоящего Postgres</t>
        </is>
      </c>
      <c r="F6" s="53" t="n">
        <v>0.4</v>
      </c>
      <c r="G6" s="53" t="n">
        <v>0.5</v>
      </c>
      <c r="H6" s="10">
        <f>Таблица1[[#This Row],[Оценка вероятности возникновения риска]]*Таблица1[[#This Row],[Оценка силы воздействия риска]]</f>
        <v/>
      </c>
      <c r="I6" s="10" t="inlineStr">
        <is>
          <t>Прогнать alembic upgrade head на тестовом Neon-проекте заранее, вне дня защиты</t>
        </is>
      </c>
    </row>
    <row r="7" ht="16.5" customHeight="1">
      <c r="A7" s="10" t="n">
        <v>4</v>
      </c>
      <c r="B7" s="10">
        <f>"R "&amp;Таблица1[[#This Row],[Номер риска]]&amp;" "</f>
        <v/>
      </c>
      <c r="C7" s="49" t="inlineStr">
        <is>
          <t>Единственный разработчик перегружен или заболевает перед защитой</t>
        </is>
      </c>
      <c r="D7" s="10" t="inlineStr">
        <is>
          <t>Срыв сроков подготовки к защите</t>
        </is>
      </c>
      <c r="E7" s="10" t="inlineStr">
        <is>
          <t>Совмещение ролей PO/разработчика/тестировщика без резерва по времени</t>
        </is>
      </c>
      <c r="F7" s="30" t="n">
        <v>0.3</v>
      </c>
      <c r="G7" s="30" t="n">
        <v>0.8</v>
      </c>
      <c r="H7" s="10">
        <f>Таблица1[[#This Row],[Оценка вероятности возникновения риска]]*Таблица1[[#This Row],[Оценка силы воздействия риска]]</f>
        <v/>
      </c>
      <c r="I7" s="10" t="inlineStr">
        <is>
          <t>Заложить буфер в графике (раздел 4 концепции), не планировать критические задачи на последние 2-3 дня</t>
        </is>
      </c>
    </row>
    <row r="8" ht="16.5" customHeight="1">
      <c r="A8" s="10" t="n">
        <v>5</v>
      </c>
      <c r="B8" s="10">
        <f>"R "&amp;Таблица1[[#This Row],[Номер риска]]&amp;" "</f>
        <v/>
      </c>
      <c r="C8" s="49" t="inlineStr">
        <is>
          <t>Качество кода фоновых ИИ-агентов не соответствует ожиданиям при ручной проверке</t>
        </is>
      </c>
      <c r="D8" s="10" t="inlineStr">
        <is>
          <t>Дополнительное время на рефакторинг непосредственно перед защитой</t>
        </is>
      </c>
      <c r="E8" s="10" t="inlineStr">
        <is>
          <t>Merge веток без code review со стороны автора проекта</t>
        </is>
      </c>
      <c r="F8" s="53" t="n">
        <v>0.5</v>
      </c>
      <c r="G8" s="53" t="n">
        <v>0.6</v>
      </c>
      <c r="H8" s="10">
        <f>Таблица1[[#This Row],[Оценка вероятности возникновения риска]]*Таблица1[[#This Row],[Оценка силы воздействия риска]]</f>
        <v/>
      </c>
      <c r="I8" s="10" t="inlineStr">
        <is>
          <t>Ручной review каждого PR перед merge в защищаемую ветку, прогон полного набора тестов</t>
        </is>
      </c>
    </row>
    <row r="9" ht="16.5" customHeight="1">
      <c r="A9" s="10" t="n">
        <v>6</v>
      </c>
      <c r="B9" s="10">
        <f>"R "&amp;Таблица1[[#This Row],[Номер риска]]&amp;" "</f>
        <v/>
      </c>
      <c r="C9" s="49" t="inlineStr">
        <is>
          <t>AI-провайдер остаётся в режиме заглушки (StubAIProvider)</t>
        </is>
      </c>
      <c r="D9" s="10" t="inlineStr">
        <is>
          <t>AI-режимы нельзя продемонстрировать как работающие с реальной генерацией</t>
        </is>
      </c>
      <c r="E9" s="10" t="inlineStr">
        <is>
          <t>Нет бесплатного API-ключа (Gemini/OpenRouter) на момент защиты</t>
        </is>
      </c>
      <c r="F9" s="10" t="n">
        <v>0.6</v>
      </c>
      <c r="G9" s="10" t="n">
        <v>0.3</v>
      </c>
      <c r="H9" s="10">
        <f>Таблица1[[#This Row],[Оценка вероятности возникновения риска]]*Таблица1[[#This Row],[Оценка силы воздействия риска]]</f>
        <v/>
      </c>
      <c r="I9" s="10" t="inlineStr">
        <is>
          <t>Оформить бесплатный ключ Google Gemini или OpenRouter заранее (см. docs/architecture/01-ai-provider-setup.md)</t>
        </is>
      </c>
    </row>
    <row r="10" ht="16.5" customHeight="1">
      <c r="A10" s="10" t="n">
        <v>7</v>
      </c>
      <c r="B10" s="10">
        <f>"R "&amp;Таблица1[[#This Row],[Номер риска]]&amp;" "</f>
        <v/>
      </c>
      <c r="C10" s="49" t="inlineStr">
        <is>
          <t>Хостинг-провайдер (Render/Netlify) недоступен или меняет бесплатные лимиты</t>
        </is>
      </c>
      <c r="D10" s="10" t="inlineStr">
        <is>
          <t>Демо-окружение недоступно в день защиты</t>
        </is>
      </c>
      <c r="E10" s="10" t="inlineStr">
        <is>
          <t>Изменение политики бесплатного тарифа или блокировка региона</t>
        </is>
      </c>
      <c r="F10" s="10" t="n">
        <v>0.2</v>
      </c>
      <c r="G10" s="10" t="n">
        <v>0.7</v>
      </c>
      <c r="H10" s="10">
        <f>Таблица1[[#This Row],[Оценка вероятности возникновения риска]]*Таблица1[[#This Row],[Оценка силы воздействия риска]]</f>
        <v/>
      </c>
      <c r="I10" s="10" t="inlineStr">
        <is>
          <t>Иметь резервный вариант — локальный запуск через docker compose up на случай недоступности облака</t>
        </is>
      </c>
    </row>
    <row r="11" ht="16.5" customHeight="1">
      <c r="A11" s="10" t="n">
        <v>8</v>
      </c>
      <c r="B11" s="10">
        <f>"R "&amp;Таблица1[[#This Row],[Номер риска]]&amp;" "</f>
        <v/>
      </c>
      <c r="C11" s="49" t="inlineStr">
        <is>
          <t>Смешение трёх обязательств (лабы Часть 1/2 + курсовая + реальный продукт) в одном репозитории</t>
        </is>
      </c>
      <c r="D11" s="10" t="inlineStr">
        <is>
          <t>Комиссия может не понять границы курсового среза при просмотре репозитория</t>
        </is>
      </c>
      <c r="E11" s="10" t="inlineStr">
        <is>
          <t>Незнание отличия «Волна 1» (курсовой срез) от полной целевой архитектуры</t>
        </is>
      </c>
      <c r="F11" s="10" t="n">
        <v>0.4</v>
      </c>
      <c r="G11" s="10" t="n">
        <v>0.6</v>
      </c>
      <c r="H11" s="10">
        <f>Таблица1[[#This Row],[Оценка вероятности возникновения риска]]*Таблица1[[#This Row],[Оценка силы воздействия риска]]</f>
        <v/>
      </c>
      <c r="I11" s="10" t="inlineStr">
        <is>
          <t>Явно обозначить курсовой срез в презентации и РПЗ, не показывать репозиторий комиссии напрямую без пояснений</t>
        </is>
      </c>
    </row>
    <row r="12" ht="16.5" customHeight="1">
      <c r="A12" s="10" t="n">
        <v>9</v>
      </c>
      <c r="B12" s="10">
        <f>"R "&amp;Таблица1[[#This Row],[Номер риска]]&amp;" "</f>
        <v/>
      </c>
      <c r="C12" s="49" t="inlineStr">
        <is>
          <t>Дата защиты курсовой работы смещается или уточняется поздно</t>
        </is>
      </c>
      <c r="D12" s="10" t="inlineStr">
        <is>
          <t>Пересмотр графика подготовки (раздел 4 концепции, критический путь)</t>
        </is>
      </c>
      <c r="E12" s="10" t="inlineStr">
        <is>
          <t>Изменение расписания сессии группы 60121</t>
        </is>
      </c>
      <c r="F12" s="10" t="n">
        <v>0.2</v>
      </c>
      <c r="G12" s="10" t="n">
        <v>0.5</v>
      </c>
      <c r="H12" s="10">
        <f>Таблица1[[#This Row],[Оценка вероятности возникновения риска]]*Таблица1[[#This Row],[Оценка силы воздействия риска]]</f>
        <v/>
      </c>
      <c r="I12" s="10" t="inlineStr">
        <is>
          <t>Следить за расписанием заранее, держать 39-дневный план (раздел 4) с запасом до официальной даты</t>
        </is>
      </c>
    </row>
    <row r="13" ht="16.5" customHeight="1">
      <c r="A13" s="10" t="n"/>
      <c r="B13" s="10" t="n"/>
      <c r="C13" s="49" t="n"/>
      <c r="D13" s="10" t="n"/>
      <c r="E13" s="10" t="n"/>
      <c r="F13" s="10" t="n"/>
      <c r="G13" s="10" t="n"/>
      <c r="H13" s="10" t="n"/>
      <c r="I13" s="10" t="n"/>
    </row>
    <row r="14" ht="16.5" customHeight="1">
      <c r="A14" s="10" t="n"/>
      <c r="B14" s="10" t="n"/>
      <c r="C14" s="49" t="n"/>
      <c r="D14" s="10" t="n"/>
      <c r="E14" s="10" t="n"/>
      <c r="F14" s="10" t="n"/>
      <c r="G14" s="10" t="n"/>
      <c r="H14" s="10" t="n"/>
      <c r="I14" s="10" t="n"/>
    </row>
    <row r="15" ht="16.5" customHeight="1">
      <c r="A15" s="10" t="n"/>
      <c r="B15" s="10" t="n"/>
      <c r="C15" s="49" t="n"/>
      <c r="D15" s="10" t="n"/>
      <c r="E15" s="10" t="n"/>
      <c r="F15" s="10" t="n"/>
      <c r="G15" s="10" t="n"/>
      <c r="H15" s="10" t="n"/>
      <c r="I15" s="10" t="n"/>
    </row>
    <row r="16" ht="16.5" customHeight="1">
      <c r="A16" s="10" t="n"/>
      <c r="B16" s="10" t="n"/>
      <c r="C16" s="49" t="n"/>
      <c r="D16" s="10" t="n"/>
      <c r="E16" s="10" t="n"/>
      <c r="F16" s="10" t="n"/>
      <c r="G16" s="10" t="n"/>
      <c r="H16" s="10" t="n"/>
      <c r="I16" s="10" t="n"/>
    </row>
    <row r="17" ht="16.5" customHeight="1">
      <c r="A17" s="10" t="n"/>
      <c r="B17" s="10" t="n"/>
      <c r="C17" s="49" t="n"/>
      <c r="D17" s="10" t="n"/>
      <c r="E17" s="10" t="n"/>
      <c r="F17" s="10" t="n"/>
      <c r="G17" s="10" t="n"/>
      <c r="H17" s="10" t="n"/>
      <c r="I17" s="10" t="n"/>
    </row>
    <row r="18" ht="16.5" customHeight="1">
      <c r="A18" s="10" t="n"/>
      <c r="B18" s="10" t="n"/>
      <c r="C18" s="49" t="n"/>
      <c r="D18" s="10" t="n"/>
      <c r="E18" s="10" t="n"/>
      <c r="F18" s="10" t="n"/>
      <c r="G18" s="10" t="n"/>
      <c r="H18" s="10" t="n"/>
      <c r="I18" s="10" t="n"/>
    </row>
    <row r="19">
      <c r="A19" s="10" t="n"/>
      <c r="B19" s="10" t="n"/>
      <c r="C19" s="10" t="n"/>
      <c r="D19" s="10" t="n"/>
      <c r="E19" s="10" t="n"/>
      <c r="F19" s="10" t="n"/>
      <c r="G19" s="10" t="n"/>
      <c r="H19" s="10" t="n"/>
      <c r="I19" s="10" t="n"/>
    </row>
    <row r="20">
      <c r="A20" s="10" t="n"/>
      <c r="B20" s="10" t="n"/>
      <c r="C20" s="10" t="n"/>
      <c r="D20" s="10" t="n"/>
      <c r="E20" s="10" t="n"/>
      <c r="F20" s="10" t="n"/>
      <c r="G20" s="10" t="n"/>
      <c r="H20" s="10" t="n"/>
      <c r="I20" s="10" t="n"/>
    </row>
    <row r="21">
      <c r="A21" s="10" t="n"/>
      <c r="B21" s="10" t="n"/>
      <c r="C21" s="10" t="n"/>
      <c r="D21" s="10" t="n"/>
      <c r="E21" s="10" t="n"/>
      <c r="F21" s="10" t="n"/>
      <c r="G21" s="10" t="n"/>
      <c r="H21" s="10" t="n"/>
      <c r="I21" s="10" t="n"/>
    </row>
    <row r="22">
      <c r="A22" s="10" t="n"/>
      <c r="B22" s="10" t="n"/>
      <c r="C22" s="10" t="n"/>
      <c r="D22" s="10" t="n"/>
      <c r="E22" s="10" t="n"/>
      <c r="F22" s="10" t="n"/>
      <c r="G22" s="10" t="n"/>
      <c r="H22" s="10" t="n"/>
      <c r="I22" s="10" t="n"/>
    </row>
    <row r="23">
      <c r="A23" s="10" t="n"/>
      <c r="B23" s="10" t="n"/>
      <c r="C23" s="10" t="n"/>
      <c r="D23" s="10" t="n"/>
      <c r="E23" s="10" t="n"/>
      <c r="F23" s="10" t="n"/>
      <c r="G23" s="10" t="n"/>
      <c r="H23" s="10" t="n"/>
      <c r="I23" s="10" t="n"/>
    </row>
    <row r="27" ht="16" customHeight="1">
      <c r="B27" s="31" t="n"/>
      <c r="C27" s="32" t="inlineStr">
        <is>
          <t xml:space="preserve">Шкала вероятности </t>
        </is>
      </c>
      <c r="D27" s="31" t="n"/>
      <c r="E27" s="31" t="n"/>
      <c r="F27" s="31" t="n"/>
      <c r="G27" s="32" t="inlineStr">
        <is>
          <t xml:space="preserve">Шкала воздействия </t>
        </is>
      </c>
      <c r="H27" s="31" t="n"/>
      <c r="I27" s="31" t="n"/>
      <c r="J27" s="31" t="n"/>
      <c r="L27" s="33" t="n"/>
      <c r="M27" s="33" t="n"/>
      <c r="N27" s="33" t="n"/>
      <c r="O27" s="33" t="n"/>
      <c r="P27" s="33" t="n"/>
    </row>
    <row r="28" ht="32" customHeight="1">
      <c r="B28" s="34" t="inlineStr">
        <is>
          <t>A</t>
        </is>
      </c>
      <c r="C28" s="35" t="inlineStr">
        <is>
          <t>B</t>
        </is>
      </c>
      <c r="D28" s="35" t="inlineStr">
        <is>
          <t>C</t>
        </is>
      </c>
      <c r="E28" s="36" t="inlineStr">
        <is>
          <t>D</t>
        </is>
      </c>
      <c r="F28" s="31" t="n"/>
      <c r="G28" s="41" t="inlineStr">
        <is>
          <t>Оценка</t>
        </is>
      </c>
      <c r="H28" s="41" t="inlineStr">
        <is>
          <t>Описание</t>
        </is>
      </c>
      <c r="I28" s="41" t="inlineStr">
        <is>
          <t>Финансовые потери</t>
        </is>
      </c>
      <c r="J28" s="41" t="inlineStr">
        <is>
          <t>Репутационный ущерб</t>
        </is>
      </c>
      <c r="K28" s="41" t="inlineStr">
        <is>
          <t>Юридические последствия</t>
        </is>
      </c>
      <c r="L28" s="37" t="n"/>
      <c r="M28" s="37" t="n"/>
      <c r="N28" s="37" t="n"/>
      <c r="O28" s="37" t="n"/>
      <c r="P28" s="37" t="n"/>
    </row>
    <row r="29" ht="16" customHeight="1">
      <c r="B29" s="38" t="inlineStr">
        <is>
          <t>Оценка</t>
        </is>
      </c>
      <c r="C29" s="39" t="inlineStr">
        <is>
          <t>Описание</t>
        </is>
      </c>
      <c r="D29" s="39" t="inlineStr">
        <is>
          <t>Пример</t>
        </is>
      </c>
      <c r="E29" s="40" t="inlineStr">
        <is>
          <t>%</t>
        </is>
      </c>
      <c r="F29" s="31" t="n"/>
      <c r="G29" s="45" t="n">
        <v>1</v>
      </c>
      <c r="H29" s="45" t="inlineStr">
        <is>
          <t>Очень низкое</t>
        </is>
      </c>
      <c r="I29" s="45" t="inlineStr">
        <is>
          <t>&lt; 500 BYN</t>
        </is>
      </c>
      <c r="J29" s="45" t="inlineStr">
        <is>
          <t>Локальный</t>
        </is>
      </c>
      <c r="K29" s="45" t="inlineStr">
        <is>
          <t>Нет</t>
        </is>
      </c>
    </row>
    <row r="30" ht="16" customHeight="1">
      <c r="B30" s="42" t="n">
        <v>1</v>
      </c>
      <c r="C30" s="43" t="inlineStr">
        <is>
          <t>Очень низкая</t>
        </is>
      </c>
      <c r="D30" s="43" t="inlineStr">
        <is>
          <t>Единичный случай за 10 лет</t>
        </is>
      </c>
      <c r="E30" s="44" t="inlineStr">
        <is>
          <t>&lt; 5%</t>
        </is>
      </c>
      <c r="F30" s="31" t="n"/>
      <c r="G30" s="45" t="n">
        <v>2</v>
      </c>
      <c r="H30" s="45" t="inlineStr">
        <is>
          <t>Низкое</t>
        </is>
      </c>
      <c r="I30" s="45" t="inlineStr">
        <is>
          <t>500-3000 BYN</t>
        </is>
      </c>
      <c r="J30" s="45" t="inlineStr">
        <is>
          <t>Внутренний</t>
        </is>
      </c>
      <c r="K30" s="37" t="inlineStr">
        <is>
          <t>Штраф до 25 б.в.</t>
        </is>
      </c>
    </row>
    <row r="31" ht="16" customHeight="1">
      <c r="B31" s="42" t="n">
        <v>2</v>
      </c>
      <c r="C31" s="43" t="inlineStr">
        <is>
          <t>Низкая</t>
        </is>
      </c>
      <c r="D31" s="43" t="inlineStr">
        <is>
          <t>Раз в 2-3 года</t>
        </is>
      </c>
      <c r="E31" s="44" t="inlineStr">
        <is>
          <t>5-20%</t>
        </is>
      </c>
      <c r="F31" s="31" t="n"/>
      <c r="G31" s="45" t="n">
        <v>3</v>
      </c>
      <c r="H31" s="45" t="inlineStr">
        <is>
          <t>Среднее</t>
        </is>
      </c>
      <c r="I31" s="37" t="inlineStr">
        <is>
          <t>3000-20000 BYN</t>
        </is>
      </c>
      <c r="J31" s="45" t="inlineStr">
        <is>
          <t>Региональный</t>
        </is>
      </c>
      <c r="K31" s="37" t="inlineStr">
        <is>
          <t>Штраф 25-50 б.в.</t>
        </is>
      </c>
    </row>
    <row r="32" ht="32" customHeight="1">
      <c r="B32" s="42" t="n">
        <v>3</v>
      </c>
      <c r="C32" s="43" t="inlineStr">
        <is>
          <t>Средняя</t>
        </is>
      </c>
      <c r="D32" s="43" t="inlineStr">
        <is>
          <t>Раз в год</t>
        </is>
      </c>
      <c r="E32" s="44" t="inlineStr">
        <is>
          <t>20-50%</t>
        </is>
      </c>
      <c r="F32" s="31" t="n"/>
      <c r="G32" s="45" t="n">
        <v>4</v>
      </c>
      <c r="H32" s="45" t="inlineStr">
        <is>
          <t>Высокое</t>
        </is>
      </c>
      <c r="I32" s="37" t="inlineStr">
        <is>
          <t>20000-100000 BYN</t>
        </is>
      </c>
      <c r="J32" s="45" t="inlineStr">
        <is>
          <t>Национальный</t>
        </is>
      </c>
      <c r="K32" s="37" t="inlineStr">
        <is>
          <t>Штраф 50–100 б.в., проверка НЦЗПД</t>
        </is>
      </c>
    </row>
    <row r="33" ht="48" customHeight="1">
      <c r="B33" s="42" t="n">
        <v>4</v>
      </c>
      <c r="C33" s="43" t="inlineStr">
        <is>
          <t>Высокая</t>
        </is>
      </c>
      <c r="D33" s="43" t="inlineStr">
        <is>
          <t>Несколько раз в год</t>
        </is>
      </c>
      <c r="E33" s="44" t="inlineStr">
        <is>
          <t>50-80%</t>
        </is>
      </c>
      <c r="F33" s="31" t="n"/>
      <c r="G33" s="45" t="n">
        <v>5</v>
      </c>
      <c r="H33" s="45" t="inlineStr">
        <is>
          <t>Очень высокое</t>
        </is>
      </c>
      <c r="I33" s="37" t="inlineStr">
        <is>
          <t>&gt;100 000 BYN</t>
        </is>
      </c>
      <c r="J33" s="45" t="inlineStr">
        <is>
          <t>Международный</t>
        </is>
      </c>
      <c r="K33" s="45" t="inlineStr">
        <is>
          <t>Блокировка деятельности, судебные иски</t>
        </is>
      </c>
    </row>
    <row r="34" ht="16" customHeight="1">
      <c r="B34" s="46" t="n">
        <v>5</v>
      </c>
      <c r="C34" s="47" t="inlineStr">
        <is>
          <t>Очень высокая</t>
        </is>
      </c>
      <c r="D34" s="47" t="inlineStr">
        <is>
          <t>Регулярно / постоянно</t>
        </is>
      </c>
      <c r="E34" s="48" t="inlineStr">
        <is>
          <t>&gt; 80%</t>
        </is>
      </c>
      <c r="F34" s="31" t="n"/>
      <c r="G34" s="31" t="n"/>
      <c r="H34" s="31" t="n"/>
      <c r="I34" s="31" t="n"/>
      <c r="J34" s="31" t="n"/>
      <c r="K34" s="41" t="n"/>
    </row>
    <row r="41" ht="16.5" customHeight="1">
      <c r="C41" s="28" t="n"/>
      <c r="D41" s="28" t="n"/>
      <c r="E41" s="28" t="n"/>
      <c r="F41" s="28" t="n"/>
      <c r="G41" s="28" t="n"/>
      <c r="H41" s="28" t="n"/>
      <c r="I41" s="28" t="n"/>
    </row>
    <row r="42" ht="33" customHeight="1">
      <c r="C42" s="30" t="n"/>
      <c r="D42" s="30" t="n"/>
      <c r="E42" s="30" t="n"/>
      <c r="F42" s="30" t="n"/>
      <c r="G42" s="30" t="n"/>
      <c r="H42" s="29" t="n"/>
      <c r="I42" s="30" t="n"/>
    </row>
    <row r="43" ht="33" customHeight="1">
      <c r="C43" s="30" t="n"/>
      <c r="D43" s="30" t="n"/>
      <c r="E43" s="30" t="n"/>
      <c r="F43" s="30" t="n"/>
      <c r="G43" s="30" t="n"/>
      <c r="H43" s="29" t="n"/>
      <c r="I43" s="30" t="n"/>
    </row>
    <row r="44" ht="33" customHeight="1">
      <c r="C44" s="30" t="n"/>
      <c r="D44" s="30" t="n"/>
      <c r="E44" s="30" t="n"/>
      <c r="F44" s="30" t="n"/>
      <c r="G44" s="30" t="n"/>
      <c r="H44" s="29" t="n"/>
      <c r="I44" s="30" t="n"/>
    </row>
    <row r="45" ht="16.5" customHeight="1">
      <c r="C45" s="30" t="n"/>
      <c r="D45" s="30" t="n"/>
      <c r="E45" s="30" t="n"/>
      <c r="F45" s="30" t="n"/>
      <c r="G45" s="30" t="n"/>
      <c r="H45" s="29" t="n"/>
      <c r="I45" s="30" t="n"/>
    </row>
    <row r="46" ht="33" customHeight="1">
      <c r="C46" s="30" t="n"/>
      <c r="D46" s="30" t="n"/>
      <c r="E46" s="30" t="n"/>
      <c r="F46" s="30" t="n"/>
      <c r="G46" s="30" t="n"/>
      <c r="H46" s="29" t="n"/>
      <c r="I46" s="30" t="n"/>
    </row>
    <row r="47"/>
    <row r="48"/>
    <row r="49"/>
    <row r="50"/>
    <row r="51"/>
    <row r="52"/>
    <row r="53" ht="52.5" customHeight="1">
      <c r="C53" s="50" t="n"/>
      <c r="D53" s="50" t="n"/>
      <c r="E53" s="50" t="n"/>
      <c r="F53" s="50" t="n"/>
      <c r="G53" s="50" t="n"/>
      <c r="H53" s="50" t="n"/>
    </row>
    <row r="54" ht="70" customHeight="1">
      <c r="C54" s="51" t="n"/>
      <c r="D54" s="51" t="n"/>
      <c r="E54" s="51" t="n"/>
      <c r="F54" s="51" t="n"/>
      <c r="G54" s="52" t="n"/>
      <c r="H54" s="51" t="n"/>
    </row>
    <row r="55" ht="87.5" customHeight="1">
      <c r="C55" s="51" t="n"/>
      <c r="D55" s="51" t="n"/>
      <c r="E55" s="51" t="n"/>
      <c r="F55" s="51" t="n"/>
      <c r="G55" s="52" t="n"/>
      <c r="H55" s="51" t="n"/>
    </row>
    <row r="56" ht="87.5" customHeight="1">
      <c r="C56" s="51" t="n"/>
      <c r="D56" s="51" t="n"/>
      <c r="E56" s="51" t="n"/>
      <c r="F56" s="51" t="n"/>
      <c r="G56" s="52" t="n"/>
      <c r="H56" s="51" t="n"/>
    </row>
    <row r="57" ht="122.5" customHeight="1">
      <c r="C57" s="51" t="n"/>
      <c r="D57" s="51" t="n"/>
      <c r="E57" s="51" t="n"/>
      <c r="F57" s="51" t="n"/>
      <c r="G57" s="52" t="n"/>
      <c r="H57" s="51" t="n"/>
    </row>
    <row r="58" ht="87.5" customHeight="1">
      <c r="C58" s="51" t="n"/>
      <c r="D58" s="51" t="n"/>
      <c r="E58" s="51" t="n"/>
      <c r="F58" s="51" t="n"/>
      <c r="G58" s="52" t="n"/>
      <c r="H58" s="51" t="n"/>
    </row>
    <row r="59" ht="87.5" customHeight="1">
      <c r="C59" s="51" t="n"/>
      <c r="D59" s="51" t="n"/>
      <c r="E59" s="51" t="n"/>
      <c r="F59" s="51" t="n"/>
      <c r="G59" s="52" t="n"/>
      <c r="H59" s="51" t="n"/>
    </row>
    <row r="60" ht="70" customHeight="1">
      <c r="C60" s="51" t="n"/>
      <c r="D60" s="51" t="n"/>
      <c r="E60" s="51" t="n"/>
      <c r="F60" s="51" t="n"/>
      <c r="G60" s="52" t="n"/>
      <c r="H60" s="51" t="n"/>
    </row>
    <row r="61" ht="87.5" customHeight="1">
      <c r="C61" s="51" t="n"/>
      <c r="D61" s="51" t="n"/>
      <c r="E61" s="51" t="n"/>
      <c r="F61" s="51" t="n"/>
      <c r="G61" s="52" t="n"/>
      <c r="H61" s="51" t="n"/>
    </row>
    <row r="62" ht="87.5" customHeight="1">
      <c r="C62" s="51" t="n"/>
      <c r="D62" s="51" t="n"/>
      <c r="E62" s="51" t="n"/>
      <c r="F62" s="51" t="n"/>
      <c r="G62" s="52" t="n"/>
      <c r="H62" s="51" t="n"/>
    </row>
    <row r="63" ht="70" customHeight="1">
      <c r="C63" s="51" t="n"/>
      <c r="D63" s="51" t="n"/>
      <c r="E63" s="51" t="n"/>
      <c r="F63" s="51" t="n"/>
      <c r="G63" s="52" t="n"/>
      <c r="H63" s="51" t="n"/>
    </row>
    <row r="64" ht="70" customHeight="1">
      <c r="C64" s="51" t="n"/>
      <c r="D64" s="51" t="n"/>
      <c r="E64" s="51" t="n"/>
      <c r="F64" s="51" t="n"/>
      <c r="G64" s="52" t="n"/>
      <c r="H64" s="51" t="n"/>
    </row>
    <row r="65" ht="87.5" customHeight="1">
      <c r="C65" s="51" t="n"/>
      <c r="D65" s="51" t="n"/>
      <c r="E65" s="51" t="n"/>
      <c r="F65" s="51" t="n"/>
      <c r="G65" s="52" t="n"/>
      <c r="H65" s="51" t="n"/>
    </row>
    <row r="66" ht="87.5" customHeight="1">
      <c r="C66" s="51" t="n"/>
      <c r="D66" s="51" t="n"/>
      <c r="E66" s="51" t="n"/>
      <c r="F66" s="51" t="n"/>
      <c r="G66" s="52" t="n"/>
      <c r="H66" s="51" t="n"/>
    </row>
    <row r="67" ht="87.5" customHeight="1">
      <c r="C67" s="51" t="n"/>
      <c r="D67" s="51" t="n"/>
      <c r="E67" s="51" t="n"/>
      <c r="F67" s="51" t="n"/>
      <c r="G67" s="52" t="n"/>
      <c r="H67" s="51" t="n"/>
    </row>
    <row r="68" ht="105" customHeight="1">
      <c r="C68" s="51" t="n"/>
      <c r="D68" s="51" t="n"/>
      <c r="E68" s="51" t="n"/>
      <c r="F68" s="51" t="n"/>
      <c r="G68" s="52" t="n"/>
      <c r="H68" s="51" t="n"/>
    </row>
  </sheetData>
  <conditionalFormatting sqref="A4:B18 A19:I23 D4:E8 D9:I18 H4:I8">
    <cfRule type="expression" priority="6" dxfId="2">
      <formula>$H4&gt;0.505</formula>
    </cfRule>
    <cfRule type="expression" priority="5" dxfId="0">
      <formula>AND($H4&lt;0.14,$H4&gt;0)</formula>
    </cfRule>
    <cfRule type="expression" priority="1" dxfId="1">
      <formula>AND($H4&lt;=0.505,$H4&gt;=0.14)</formula>
    </cfRule>
  </conditionalFormatting>
  <pageMargins left="0.7" right="0.7" top="0.75" bottom="0.75" header="0.3" footer="0.3"/>
  <pageSetup orientation="portrait" paperSize="9"/>
  <tableParts count="2">
    <tablePart xmlns:r="http://schemas.openxmlformats.org/officeDocument/2006/relationships" r:id="rId1"/>
    <tablePart xmlns:r="http://schemas.openxmlformats.org/officeDocument/2006/relationships" r:id="rId2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Y60"/>
  <sheetViews>
    <sheetView workbookViewId="0">
      <selection activeCell="O29" sqref="O29"/>
    </sheetView>
  </sheetViews>
  <sheetFormatPr baseColWidth="8" defaultColWidth="8.7265625" defaultRowHeight="14.5"/>
  <cols>
    <col width="4.7265625" customWidth="1" style="6" min="1" max="1"/>
    <col width="6.81640625" customWidth="1" style="6" min="2" max="2"/>
    <col width="9.7265625" customWidth="1" style="6" min="3" max="12"/>
    <col width="5.7265625" customWidth="1" style="6" min="13" max="13"/>
    <col width="8.7265625" customWidth="1" style="6" min="14" max="14"/>
    <col width="20.453125" customWidth="1" style="6" min="15" max="15"/>
    <col width="22" customWidth="1" style="6" min="16" max="16"/>
    <col width="21.26953125" customWidth="1" style="6" min="17" max="17"/>
    <col width="8.7265625" customWidth="1" style="6" min="18" max="16384"/>
  </cols>
  <sheetData>
    <row r="1" ht="15.5" customHeight="1">
      <c r="A1" s="12">
        <f>"Карта рисков для проекта "&amp;'Таблица с рисками'!C1</f>
        <v/>
      </c>
    </row>
    <row r="2" ht="15.5" customHeight="1">
      <c r="A2" s="12" t="n"/>
    </row>
    <row r="3">
      <c r="A3" s="6" t="inlineStr">
        <is>
          <t>1 вариант</t>
        </is>
      </c>
    </row>
    <row r="5">
      <c r="K5" s="6" t="inlineStr">
        <is>
          <t>Дополнение к видео: чтобы в ручную не прописывать подписи к данным на рисунке можно сделать следующие действия:</t>
        </is>
      </c>
    </row>
    <row r="6">
      <c r="K6" s="6" t="inlineStr">
        <is>
          <t>1) нажать на любую точку на графике правой кнопкой мыши и добавить подписи к данным</t>
        </is>
      </c>
    </row>
    <row r="7">
      <c r="K7" s="6" t="inlineStr">
        <is>
          <t>2) далее нажать на подписи данных правой кнопкой мыши и выбрать формат подписей к данным</t>
        </is>
      </c>
    </row>
    <row r="8">
      <c r="K8" s="6" t="inlineStr">
        <is>
          <t xml:space="preserve">3) в параметрах подписи убрать галочки "Значения X" и "линии выноски" </t>
        </is>
      </c>
    </row>
    <row r="9">
      <c r="K9" s="6" t="inlineStr">
        <is>
          <t>4) выбрать галочку "Значение из ячеек" и сослаться на столбец с кратким наименованием рисков</t>
        </is>
      </c>
    </row>
    <row r="14">
      <c r="Y14" s="6" t="n"/>
    </row>
    <row r="22">
      <c r="X22" s="6" t="n"/>
    </row>
    <row r="23">
      <c r="U23" s="6" t="n"/>
    </row>
    <row r="25">
      <c r="A25" s="6" t="inlineStr">
        <is>
          <t>2 вариант</t>
        </is>
      </c>
    </row>
    <row r="27" ht="47.5" customHeight="1">
      <c r="A27" s="56" t="inlineStr">
        <is>
          <t>Оценка силы воздействия риска</t>
        </is>
      </c>
      <c r="B27" s="13" t="inlineStr">
        <is>
          <t>0,8-1</t>
        </is>
      </c>
      <c r="C27" s="14" t="n"/>
      <c r="D27" s="14" t="n"/>
      <c r="E27" s="15" t="n"/>
      <c r="F27" s="15" t="n"/>
      <c r="J27" s="10" t="n"/>
      <c r="K27" s="10" t="n"/>
    </row>
    <row r="28" ht="47.5" customHeight="1">
      <c r="A28" s="58" t="n"/>
      <c r="B28" s="13" t="inlineStr">
        <is>
          <t>0,6-0,8</t>
        </is>
      </c>
      <c r="C28" s="14" t="n"/>
      <c r="D28" s="14" t="n"/>
      <c r="E28" s="14" t="n"/>
      <c r="F28" s="15" t="n"/>
      <c r="H28" s="16" t="n"/>
      <c r="I28" s="17" t="inlineStr">
        <is>
          <t xml:space="preserve">Высокий приоритет </t>
        </is>
      </c>
      <c r="J28" s="10" t="n"/>
      <c r="K28" s="10" t="n"/>
    </row>
    <row r="29" ht="47.5" customHeight="1">
      <c r="A29" s="58" t="n"/>
      <c r="B29" s="13" t="inlineStr">
        <is>
          <t>0,5 - 0,6</t>
        </is>
      </c>
      <c r="C29" s="18" t="n"/>
      <c r="D29" s="14" t="n"/>
      <c r="E29" s="14" t="n"/>
      <c r="F29" s="14" t="n"/>
      <c r="H29" s="19" t="n"/>
      <c r="I29" s="17" t="inlineStr">
        <is>
          <t>Средний приоритет</t>
        </is>
      </c>
      <c r="J29" s="10" t="n"/>
      <c r="K29" s="10" t="n"/>
    </row>
    <row r="30" ht="47.5" customHeight="1">
      <c r="A30" s="58" t="n"/>
      <c r="B30" s="13" t="inlineStr">
        <is>
          <t>0,1 - 0,5</t>
        </is>
      </c>
      <c r="C30" s="18" t="n"/>
      <c r="D30" s="18" t="n"/>
      <c r="E30" s="14" t="n"/>
      <c r="F30" s="14" t="n"/>
      <c r="H30" s="20" t="n"/>
      <c r="I30" s="17" t="inlineStr">
        <is>
          <t>Низкий приоритет</t>
        </is>
      </c>
      <c r="J30" s="10" t="n"/>
      <c r="K30" s="10" t="n"/>
    </row>
    <row r="31" ht="47.5" customHeight="1">
      <c r="A31" s="59" t="n"/>
      <c r="B31" s="13" t="n">
        <v>0</v>
      </c>
      <c r="C31" s="13" t="inlineStr">
        <is>
          <t>0,1-0,4</t>
        </is>
      </c>
      <c r="D31" s="13" t="inlineStr">
        <is>
          <t>0,4 - 0,6</t>
        </is>
      </c>
      <c r="E31" s="13" t="inlineStr">
        <is>
          <t>0,6-0,8</t>
        </is>
      </c>
      <c r="F31" s="13" t="inlineStr">
        <is>
          <t>0,8 - 1</t>
        </is>
      </c>
    </row>
    <row r="32" ht="25" customHeight="1">
      <c r="A32" s="21" t="n"/>
      <c r="B32" s="57" t="inlineStr">
        <is>
          <t>Оценка вероятности возникновения риска</t>
        </is>
      </c>
      <c r="C32" s="60" t="n"/>
      <c r="D32" s="60" t="n"/>
      <c r="E32" s="60" t="n"/>
      <c r="F32" s="61" t="n"/>
    </row>
    <row r="33" ht="25" customHeight="1">
      <c r="B33" s="21" t="n"/>
      <c r="C33" s="22" t="n"/>
      <c r="D33" s="22" t="n"/>
      <c r="E33" s="22" t="n"/>
      <c r="F33" s="22" t="n"/>
      <c r="G33" s="22" t="n"/>
    </row>
    <row r="34" ht="25" customHeight="1">
      <c r="B34" s="21" t="n"/>
      <c r="C34" s="22" t="n"/>
      <c r="D34" s="22" t="n"/>
      <c r="E34" s="22" t="n"/>
      <c r="F34" s="22" t="n"/>
      <c r="G34" s="22" t="n"/>
    </row>
    <row r="35">
      <c r="A35" s="56" t="inlineStr">
        <is>
          <t>Оценка силы воздействия риска</t>
        </is>
      </c>
      <c r="B35" s="6" t="n">
        <v>1</v>
      </c>
      <c r="C35" s="23" t="n"/>
      <c r="D35" s="24" t="n"/>
      <c r="E35" s="24" t="n"/>
      <c r="F35" s="24" t="n"/>
      <c r="G35" s="24" t="n"/>
      <c r="H35" s="25" t="n"/>
      <c r="I35" s="25" t="n"/>
      <c r="J35" s="25" t="n"/>
      <c r="K35" s="25" t="n"/>
      <c r="L35" s="25" t="n"/>
    </row>
    <row r="36" ht="14.5" customHeight="1">
      <c r="A36" s="58" t="n"/>
      <c r="B36" s="6" t="n">
        <v>0.9</v>
      </c>
      <c r="C36" s="18" t="n"/>
      <c r="D36" s="26" t="n"/>
      <c r="E36" s="26" t="n"/>
      <c r="F36" s="26" t="n"/>
      <c r="G36" s="26" t="n"/>
      <c r="H36" s="15" t="n"/>
      <c r="I36" s="15" t="n"/>
      <c r="J36" s="15" t="n"/>
      <c r="K36" s="15" t="n"/>
      <c r="L36" s="15" t="n"/>
      <c r="P36" s="10" t="inlineStr">
        <is>
          <t xml:space="preserve">Итоговый коэффициент </t>
        </is>
      </c>
    </row>
    <row r="37">
      <c r="A37" s="58" t="n"/>
      <c r="B37" s="6" t="n">
        <v>0.8</v>
      </c>
      <c r="C37" s="18" t="n"/>
      <c r="D37" s="26" t="n"/>
      <c r="E37" s="26" t="n"/>
      <c r="F37" s="26" t="n"/>
      <c r="G37" s="26" t="n"/>
      <c r="H37" s="26" t="n"/>
      <c r="I37" s="15" t="n"/>
      <c r="J37" s="15" t="n"/>
      <c r="K37" s="15" t="n"/>
      <c r="L37" s="15" t="n"/>
      <c r="N37" s="16" t="n"/>
      <c r="O37" s="10" t="inlineStr">
        <is>
          <t xml:space="preserve">Высокий приоритет </t>
        </is>
      </c>
      <c r="P37" s="10" t="inlineStr">
        <is>
          <t>от 0,505 до 1</t>
        </is>
      </c>
    </row>
    <row r="38" ht="14.5" customHeight="1">
      <c r="A38" s="58" t="n"/>
      <c r="B38" s="6" t="n">
        <v>0.7</v>
      </c>
      <c r="C38" s="18" t="n"/>
      <c r="D38" s="26" t="n"/>
      <c r="E38" s="26" t="n"/>
      <c r="F38" s="26" t="n"/>
      <c r="G38" s="26" t="n"/>
      <c r="H38" s="26" t="n"/>
      <c r="I38" s="26" t="n"/>
      <c r="J38" s="15" t="n"/>
      <c r="K38" s="15" t="n"/>
      <c r="L38" s="15" t="n"/>
      <c r="N38" s="19" t="n"/>
      <c r="O38" s="10" t="inlineStr">
        <is>
          <t>Средний приоритет</t>
        </is>
      </c>
      <c r="P38" s="10" t="inlineStr">
        <is>
          <t>от 0,14 до 0,505</t>
        </is>
      </c>
    </row>
    <row r="39">
      <c r="A39" s="58" t="n"/>
      <c r="B39" s="6" t="n">
        <v>0.6</v>
      </c>
      <c r="C39" s="18" t="n"/>
      <c r="D39" s="18" t="n"/>
      <c r="E39" s="26" t="n"/>
      <c r="F39" s="26" t="n"/>
      <c r="G39" s="26" t="n"/>
      <c r="H39" s="26" t="n"/>
      <c r="I39" s="26" t="n"/>
      <c r="J39" s="26" t="n"/>
      <c r="K39" s="15" t="n"/>
      <c r="L39" s="15" t="n"/>
      <c r="N39" s="20" t="n"/>
      <c r="O39" s="10" t="inlineStr">
        <is>
          <t>Низкий приоритет</t>
        </is>
      </c>
      <c r="P39" s="10" t="inlineStr">
        <is>
          <t>менее 0,14</t>
        </is>
      </c>
    </row>
    <row r="40">
      <c r="A40" s="58" t="n"/>
      <c r="B40" s="6" t="n">
        <v>0.5</v>
      </c>
      <c r="C40" s="18" t="n"/>
      <c r="D40" s="18" t="n"/>
      <c r="E40" s="26" t="n"/>
      <c r="F40" s="26" t="n"/>
      <c r="G40" s="26" t="n"/>
      <c r="H40" s="26" t="n"/>
      <c r="I40" s="26" t="n"/>
      <c r="J40" s="26" t="n"/>
      <c r="K40" s="26" t="n"/>
      <c r="L40" s="26" t="n"/>
    </row>
    <row r="41">
      <c r="A41" s="58" t="n"/>
      <c r="B41" s="6" t="n">
        <v>0.4</v>
      </c>
      <c r="C41" s="18" t="n"/>
      <c r="D41" s="18" t="n"/>
      <c r="E41" s="18" t="n"/>
      <c r="F41" s="26" t="n"/>
      <c r="G41" s="26" t="n"/>
      <c r="H41" s="26" t="n"/>
      <c r="I41" s="26" t="n"/>
      <c r="J41" s="26" t="n"/>
      <c r="K41" s="26" t="n"/>
      <c r="L41" s="26" t="n"/>
    </row>
    <row r="42">
      <c r="A42" s="58" t="n"/>
      <c r="B42" s="6" t="n">
        <v>0.3</v>
      </c>
      <c r="C42" s="18" t="n"/>
      <c r="D42" s="18" t="n"/>
      <c r="E42" s="18" t="n"/>
      <c r="F42" s="18" t="n"/>
      <c r="G42" s="26" t="n"/>
      <c r="H42" s="26" t="n"/>
      <c r="I42" s="26" t="n"/>
      <c r="J42" s="26" t="n"/>
      <c r="K42" s="26" t="n"/>
      <c r="L42" s="26" t="n"/>
    </row>
    <row r="43">
      <c r="A43" s="58" t="n"/>
      <c r="B43" s="6" t="n">
        <v>0.2</v>
      </c>
      <c r="C43" s="18" t="n"/>
      <c r="D43" s="18" t="n"/>
      <c r="E43" s="18" t="n"/>
      <c r="F43" s="18" t="n"/>
      <c r="G43" s="18" t="n"/>
      <c r="H43" s="18" t="n"/>
      <c r="I43" s="26" t="n"/>
      <c r="J43" s="26" t="n"/>
      <c r="K43" s="26" t="n"/>
      <c r="L43" s="26" t="n"/>
    </row>
    <row r="44">
      <c r="A44" s="59" t="n"/>
      <c r="B44" s="6" t="n">
        <v>0.1</v>
      </c>
      <c r="C44" s="18" t="n"/>
      <c r="D44" s="18" t="n"/>
      <c r="E44" s="18" t="n"/>
      <c r="F44" s="18" t="n"/>
      <c r="G44" s="18" t="n"/>
      <c r="H44" s="18" t="n"/>
      <c r="I44" s="18" t="n"/>
      <c r="J44" s="18" t="n"/>
      <c r="K44" s="18" t="n"/>
      <c r="L44" s="18" t="n"/>
    </row>
    <row r="45">
      <c r="B45" s="6" t="n">
        <v>0</v>
      </c>
      <c r="C45" s="6" t="n">
        <v>0.1</v>
      </c>
      <c r="D45" s="6" t="n">
        <v>0.2</v>
      </c>
      <c r="E45" s="6" t="n">
        <v>0.3</v>
      </c>
      <c r="F45" s="6" t="n">
        <v>0.4</v>
      </c>
      <c r="G45" s="6" t="n">
        <v>0.5</v>
      </c>
      <c r="H45" s="6" t="n">
        <v>0.6</v>
      </c>
      <c r="I45" s="6" t="n">
        <v>0.7</v>
      </c>
      <c r="J45" s="6" t="n">
        <v>0.8</v>
      </c>
      <c r="K45" s="6" t="n">
        <v>0.9</v>
      </c>
      <c r="L45" s="6" t="n">
        <v>1</v>
      </c>
    </row>
    <row r="46" ht="25" customHeight="1">
      <c r="E46" s="55" t="inlineStr">
        <is>
          <t>Оценка вероятности возникновения риска</t>
        </is>
      </c>
      <c r="F46" s="62" t="n"/>
      <c r="G46" s="62" t="n"/>
      <c r="H46" s="62" t="n"/>
      <c r="I46" s="63" t="n"/>
    </row>
    <row r="47" ht="25" customHeight="1">
      <c r="A47" s="6" t="inlineStr">
        <is>
          <t>3 вариант</t>
        </is>
      </c>
    </row>
    <row r="48" ht="25" customHeight="1"/>
    <row r="49" ht="25" customHeight="1">
      <c r="A49" s="56" t="inlineStr">
        <is>
          <t>Оценка силы воздействия риска</t>
        </is>
      </c>
      <c r="B49" s="6" t="n">
        <v>1</v>
      </c>
      <c r="C49" s="27">
        <f>$B49*C$59</f>
        <v/>
      </c>
      <c r="D49" s="27">
        <f>$B49*D$59</f>
        <v/>
      </c>
      <c r="E49" s="27">
        <f>$B49*E$59</f>
        <v/>
      </c>
      <c r="F49" s="27">
        <f>$B49*F$59</f>
        <v/>
      </c>
      <c r="G49" s="27">
        <f>$B49*G$59</f>
        <v/>
      </c>
      <c r="H49" s="27">
        <f>$B49*H$59</f>
        <v/>
      </c>
      <c r="I49" s="27">
        <f>$B49*I$59</f>
        <v/>
      </c>
      <c r="J49" s="27">
        <f>$B49*J$59</f>
        <v/>
      </c>
      <c r="K49" s="27">
        <f>$B49*K$59</f>
        <v/>
      </c>
      <c r="L49" s="27">
        <f>$B49*L$59</f>
        <v/>
      </c>
    </row>
    <row r="50" ht="25" customHeight="1">
      <c r="A50" s="58" t="n"/>
      <c r="B50" s="6" t="n">
        <v>0.9</v>
      </c>
      <c r="C50" s="27">
        <f>$B50*C$59</f>
        <v/>
      </c>
      <c r="D50" s="27">
        <f>$B50*D$59</f>
        <v/>
      </c>
      <c r="E50" s="27">
        <f>$B50*E$59</f>
        <v/>
      </c>
      <c r="F50" s="27">
        <f>$B50*F$59</f>
        <v/>
      </c>
      <c r="G50" s="27">
        <f>$B50*G$59</f>
        <v/>
      </c>
      <c r="H50" s="27">
        <f>$B50*H$59</f>
        <v/>
      </c>
      <c r="I50" s="27">
        <f>$B50*I$59</f>
        <v/>
      </c>
      <c r="J50" s="27">
        <f>$B50*J$59</f>
        <v/>
      </c>
      <c r="K50" s="27">
        <f>$B50*K$59</f>
        <v/>
      </c>
      <c r="L50" s="27">
        <f>$B50*L$59</f>
        <v/>
      </c>
      <c r="P50" s="10" t="inlineStr">
        <is>
          <t xml:space="preserve">Итоговый коэффициент </t>
        </is>
      </c>
    </row>
    <row r="51" ht="25" customHeight="1">
      <c r="A51" s="58" t="n"/>
      <c r="B51" s="6" t="n">
        <v>0.8</v>
      </c>
      <c r="C51" s="27">
        <f>$B51*C$59</f>
        <v/>
      </c>
      <c r="D51" s="27">
        <f>$B51*D$59</f>
        <v/>
      </c>
      <c r="E51" s="27">
        <f>$B51*E$59</f>
        <v/>
      </c>
      <c r="F51" s="27">
        <f>$B51*F$59</f>
        <v/>
      </c>
      <c r="G51" s="27">
        <f>$B51*G$59</f>
        <v/>
      </c>
      <c r="H51" s="27">
        <f>$B51*H$59</f>
        <v/>
      </c>
      <c r="I51" s="27">
        <f>$B51*I$59</f>
        <v/>
      </c>
      <c r="J51" s="27">
        <f>$B51*J$59</f>
        <v/>
      </c>
      <c r="K51" s="27">
        <f>$B51*K$59</f>
        <v/>
      </c>
      <c r="L51" s="27">
        <f>$B51*L$59</f>
        <v/>
      </c>
      <c r="N51" s="16" t="n"/>
      <c r="O51" s="10" t="inlineStr">
        <is>
          <t xml:space="preserve">Высокий приоритет </t>
        </is>
      </c>
      <c r="P51" s="10" t="inlineStr">
        <is>
          <t>от 0,505 до 1</t>
        </is>
      </c>
    </row>
    <row r="52" ht="24.65" customHeight="1">
      <c r="A52" s="58" t="n"/>
      <c r="B52" s="6" t="n">
        <v>0.7</v>
      </c>
      <c r="C52" s="27">
        <f>$B52*C$59</f>
        <v/>
      </c>
      <c r="D52" s="27">
        <f>$B52*D$59</f>
        <v/>
      </c>
      <c r="E52" s="27">
        <f>$B52*E$59</f>
        <v/>
      </c>
      <c r="F52" s="27">
        <f>$B52*F$59</f>
        <v/>
      </c>
      <c r="G52" s="27">
        <f>$B52*G$59</f>
        <v/>
      </c>
      <c r="H52" s="27">
        <f>$B52*H$59</f>
        <v/>
      </c>
      <c r="I52" s="27">
        <f>$B52*I$59</f>
        <v/>
      </c>
      <c r="J52" s="27">
        <f>$B52*J$59</f>
        <v/>
      </c>
      <c r="K52" s="27">
        <f>$B52*K$59</f>
        <v/>
      </c>
      <c r="L52" s="27">
        <f>$B52*L$59</f>
        <v/>
      </c>
      <c r="N52" s="19" t="n"/>
      <c r="O52" s="10" t="inlineStr">
        <is>
          <t>Средний приоритет</t>
        </is>
      </c>
      <c r="P52" s="10" t="inlineStr">
        <is>
          <t>от 0,14 до 0,505</t>
        </is>
      </c>
    </row>
    <row r="53">
      <c r="A53" s="58" t="n"/>
      <c r="B53" s="6" t="n">
        <v>0.6</v>
      </c>
      <c r="C53" s="27">
        <f>$B53*C$59</f>
        <v/>
      </c>
      <c r="D53" s="27">
        <f>$B53*D$59</f>
        <v/>
      </c>
      <c r="E53" s="27">
        <f>$B53*E$59</f>
        <v/>
      </c>
      <c r="F53" s="27">
        <f>$B53*F$59</f>
        <v/>
      </c>
      <c r="G53" s="27">
        <f>$B53*G$59</f>
        <v/>
      </c>
      <c r="H53" s="27">
        <f>$B53*H$59</f>
        <v/>
      </c>
      <c r="I53" s="27">
        <f>$B53*I$59</f>
        <v/>
      </c>
      <c r="J53" s="27">
        <f>$B53*J$59</f>
        <v/>
      </c>
      <c r="K53" s="27">
        <f>$B53*K$59</f>
        <v/>
      </c>
      <c r="L53" s="27">
        <f>$B53*L$59</f>
        <v/>
      </c>
      <c r="N53" s="20" t="n"/>
      <c r="O53" s="10" t="inlineStr">
        <is>
          <t>Низкий приоритет</t>
        </is>
      </c>
      <c r="P53" s="10" t="inlineStr">
        <is>
          <t>менее 0,14</t>
        </is>
      </c>
    </row>
    <row r="54">
      <c r="A54" s="58" t="n"/>
      <c r="B54" s="6" t="n">
        <v>0.5</v>
      </c>
      <c r="C54" s="27">
        <f>$B54*C$59</f>
        <v/>
      </c>
      <c r="D54" s="27">
        <f>$B54*D$59</f>
        <v/>
      </c>
      <c r="E54" s="27">
        <f>$B54*E$59</f>
        <v/>
      </c>
      <c r="F54" s="27">
        <f>$B54*F$59</f>
        <v/>
      </c>
      <c r="G54" s="27">
        <f>$B54*G$59</f>
        <v/>
      </c>
      <c r="H54" s="27">
        <f>$B54*H$59</f>
        <v/>
      </c>
      <c r="I54" s="27">
        <f>$B54*I$59</f>
        <v/>
      </c>
      <c r="J54" s="27">
        <f>$B54*J$59</f>
        <v/>
      </c>
      <c r="K54" s="27">
        <f>$B54*K$59</f>
        <v/>
      </c>
      <c r="L54" s="27">
        <f>$B54*L$59</f>
        <v/>
      </c>
    </row>
    <row r="55">
      <c r="A55" s="58" t="n"/>
      <c r="B55" s="6" t="n">
        <v>0.4</v>
      </c>
      <c r="C55" s="27">
        <f>$B55*C$59</f>
        <v/>
      </c>
      <c r="D55" s="27">
        <f>$B55*D$59</f>
        <v/>
      </c>
      <c r="E55" s="27">
        <f>$B55*E$59</f>
        <v/>
      </c>
      <c r="F55" s="27">
        <f>$B55*F$59</f>
        <v/>
      </c>
      <c r="G55" s="27">
        <f>$B55*G$59</f>
        <v/>
      </c>
      <c r="H55" s="27">
        <f>$B55*H$59</f>
        <v/>
      </c>
      <c r="I55" s="27">
        <f>$B55*I$59</f>
        <v/>
      </c>
      <c r="J55" s="27">
        <f>$B55*J$59</f>
        <v/>
      </c>
      <c r="K55" s="27">
        <f>$B55*K$59</f>
        <v/>
      </c>
      <c r="L55" s="27">
        <f>$B55*L$59</f>
        <v/>
      </c>
    </row>
    <row r="56">
      <c r="A56" s="58" t="n"/>
      <c r="B56" s="6" t="n">
        <v>0.3</v>
      </c>
      <c r="C56" s="27">
        <f>$B56*C$59</f>
        <v/>
      </c>
      <c r="D56" s="27">
        <f>$B56*D$59</f>
        <v/>
      </c>
      <c r="E56" s="27">
        <f>$B56*E$59</f>
        <v/>
      </c>
      <c r="F56" s="27">
        <f>$B56*F$59</f>
        <v/>
      </c>
      <c r="G56" s="27">
        <f>$B56*G$59</f>
        <v/>
      </c>
      <c r="H56" s="27">
        <f>$B56*H$59</f>
        <v/>
      </c>
      <c r="I56" s="27">
        <f>$B56*I$59</f>
        <v/>
      </c>
      <c r="J56" s="27">
        <f>$B56*J$59</f>
        <v/>
      </c>
      <c r="K56" s="27">
        <f>$B56*K$59</f>
        <v/>
      </c>
      <c r="L56" s="27">
        <f>$B56*L$59</f>
        <v/>
      </c>
    </row>
    <row r="57">
      <c r="A57" s="58" t="n"/>
      <c r="B57" s="6" t="n">
        <v>0.2</v>
      </c>
      <c r="C57" s="27">
        <f>$B57*C$59</f>
        <v/>
      </c>
      <c r="D57" s="27">
        <f>$B57*D$59</f>
        <v/>
      </c>
      <c r="E57" s="27">
        <f>$B57*E$59</f>
        <v/>
      </c>
      <c r="F57" s="27">
        <f>$B57*F$59</f>
        <v/>
      </c>
      <c r="G57" s="27">
        <f>$B57*G$59</f>
        <v/>
      </c>
      <c r="H57" s="27">
        <f>$B57*H$59</f>
        <v/>
      </c>
      <c r="I57" s="27">
        <f>$B57*I$59</f>
        <v/>
      </c>
      <c r="J57" s="27">
        <f>$B57*J$59</f>
        <v/>
      </c>
      <c r="K57" s="27">
        <f>$B57*K$59</f>
        <v/>
      </c>
      <c r="L57" s="27">
        <f>$B57*L$59</f>
        <v/>
      </c>
    </row>
    <row r="58">
      <c r="A58" s="59" t="n"/>
      <c r="B58" s="6" t="n">
        <v>0.1</v>
      </c>
      <c r="C58" s="27">
        <f>$B58*C$59</f>
        <v/>
      </c>
      <c r="D58" s="27">
        <f>$B58*D$59</f>
        <v/>
      </c>
      <c r="E58" s="27">
        <f>$B58*E$59</f>
        <v/>
      </c>
      <c r="F58" s="27">
        <f>$B58*F$59</f>
        <v/>
      </c>
      <c r="G58" s="27">
        <f>$B58*G$59</f>
        <v/>
      </c>
      <c r="H58" s="27">
        <f>$B58*H$59</f>
        <v/>
      </c>
      <c r="I58" s="27">
        <f>$B58*I$59</f>
        <v/>
      </c>
      <c r="J58" s="27">
        <f>$B58*J$59</f>
        <v/>
      </c>
      <c r="K58" s="27">
        <f>$B58*K$59</f>
        <v/>
      </c>
      <c r="L58" s="27">
        <f>$B58*L$59</f>
        <v/>
      </c>
    </row>
    <row r="59">
      <c r="B59" s="6" t="n">
        <v>0</v>
      </c>
      <c r="C59" s="6" t="n">
        <v>0.1</v>
      </c>
      <c r="D59" s="6" t="n">
        <v>0.2</v>
      </c>
      <c r="E59" s="6" t="n">
        <v>0.3</v>
      </c>
      <c r="F59" s="6" t="n">
        <v>0.4</v>
      </c>
      <c r="G59" s="6" t="n">
        <v>0.5</v>
      </c>
      <c r="H59" s="6" t="n">
        <v>0.6</v>
      </c>
      <c r="I59" s="6" t="n">
        <v>0.7</v>
      </c>
      <c r="J59" s="6" t="n">
        <v>0.8</v>
      </c>
      <c r="K59" s="6" t="n">
        <v>0.9</v>
      </c>
      <c r="L59" s="6" t="n">
        <v>1</v>
      </c>
    </row>
    <row r="60">
      <c r="E60" s="55" t="inlineStr">
        <is>
          <t>Оценка вероятности возникновения риска</t>
        </is>
      </c>
      <c r="F60" s="62" t="n"/>
      <c r="G60" s="62" t="n"/>
      <c r="H60" s="62" t="n"/>
      <c r="I60" s="63" t="n"/>
    </row>
  </sheetData>
  <mergeCells count="6">
    <mergeCell ref="A35:A44"/>
    <mergeCell ref="A27:A31"/>
    <mergeCell ref="E46:I46"/>
    <mergeCell ref="B32:F32"/>
    <mergeCell ref="E60:I60"/>
    <mergeCell ref="A49:A58"/>
  </mergeCells>
  <conditionalFormatting sqref="C49:L58">
    <cfRule type="cellIs" priority="6" operator="greaterThan" dxfId="2">
      <formula>0.505</formula>
    </cfRule>
    <cfRule type="cellIs" priority="5" operator="between" dxfId="1">
      <formula>0.14</formula>
      <formula>0.505</formula>
    </cfRule>
    <cfRule type="cellIs" priority="4" operator="lessThan" dxfId="0">
      <formula>0.14</formula>
    </cfRule>
  </conditionalFormatting>
  <pageMargins left="0.7" right="0.7" top="0.75" bottom="0.75" header="0.3" footer="0.3"/>
  <pageSetup orientation="portrait" paperSize="9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Admin</dc:creator>
  <dcterms:created xmlns:dcterms="http://purl.org/dc/terms/" xmlns:xsi="http://www.w3.org/2001/XMLSchema-instance" xsi:type="dcterms:W3CDTF">2015-06-05T18:19:34Z</dcterms:created>
  <dcterms:modified xmlns:dcterms="http://purl.org/dc/terms/" xmlns:xsi="http://www.w3.org/2001/XMLSchema-instance" xsi:type="dcterms:W3CDTF">2026-09-17T19:41:10Z</dcterms:modified>
  <cp:lastModifiedBy>inna</cp:lastModifiedBy>
  <cp:revision>1</cp:revision>
</cp:coreProperties>
</file>